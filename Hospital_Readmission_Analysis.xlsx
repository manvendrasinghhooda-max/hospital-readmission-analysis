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ve\OneDrive\Desktop\"/>
    </mc:Choice>
  </mc:AlternateContent>
  <xr:revisionPtr revIDLastSave="0" documentId="13_ncr:1_{1B6BE6F1-FB0F-4231-A48F-43BB1BCA474B}" xr6:coauthVersionLast="47" xr6:coauthVersionMax="47" xr10:uidLastSave="{00000000-0000-0000-0000-000000000000}"/>
  <bookViews>
    <workbookView xWindow="-108" yWindow="-108" windowWidth="23256" windowHeight="13896" firstSheet="10" activeTab="10" xr2:uid="{7FE18E3A-7209-4D05-9859-CA3AC60E373B}"/>
  </bookViews>
  <sheets>
    <sheet name="Total_Overview" sheetId="2" r:id="rId1"/>
    <sheet name="Readmission" sheetId="3" r:id="rId2"/>
    <sheet name="Rate_30_Day" sheetId="4" r:id="rId3"/>
    <sheet name="Age" sheetId="5" r:id="rId4"/>
    <sheet name="Length_Of_Stay" sheetId="6" r:id="rId5"/>
    <sheet name="Medication_Group" sheetId="7" r:id="rId6"/>
    <sheet name="Emergency_Visits" sheetId="8" r:id="rId7"/>
    <sheet name="Diabetes_Med" sheetId="9" r:id="rId8"/>
    <sheet name="A1c_Result" sheetId="10" r:id="rId9"/>
    <sheet name="High_Risk_Segments" sheetId="11" r:id="rId10"/>
    <sheet name="Dashboard" sheetId="12" r:id="rId11"/>
  </sheets>
  <definedNames>
    <definedName name="ExternalData_1" localSheetId="0" hidden="1">Total_Overview!$A$1:$B$2</definedName>
    <definedName name="ExternalData_2" localSheetId="1" hidden="1">Readmission!$A$1:$C$4</definedName>
    <definedName name="ExternalData_3" localSheetId="2" hidden="1">Rate_30_Day!$A$1:$A$2</definedName>
    <definedName name="ExternalData_4" localSheetId="3" hidden="1">Age!$A$1:$D$11</definedName>
    <definedName name="ExternalData_5" localSheetId="4" hidden="1">Length_Of_Stay!$A$1:$D$4</definedName>
    <definedName name="ExternalData_5" localSheetId="5" hidden="1">Medication_Group!$A$1:$D$4</definedName>
    <definedName name="ExternalData_6" localSheetId="6" hidden="1">Emergency_Visits!$A$1:$D$4</definedName>
    <definedName name="ExternalData_7" localSheetId="7" hidden="1">Diabetes_Med!$A$1:$G$3</definedName>
    <definedName name="ExternalData_8" localSheetId="8" hidden="1">A1c_Result!$A$1:$D$5</definedName>
    <definedName name="ExternalData_9" localSheetId="9" hidden="1">High_Risk_Segments!$A$1:$F$54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2" l="1"/>
  <c r="C3" i="12"/>
  <c r="D3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A5A0C1-4EEA-4BD3-B3A0-9E01D6BAFA5B}" keepAlive="1" name="Query - 01_total_overview" description="Connection to the '01_total_overview' query in the workbook." type="5" refreshedVersion="8" background="1" saveData="1">
    <dbPr connection="Provider=Microsoft.Mashup.OleDb.1;Data Source=$Workbook$;Location=01_total_overview;Extended Properties=&quot;&quot;" command="SELECT * FROM [01_total_overview]"/>
  </connection>
  <connection id="2" xr16:uid="{28D18FFD-3661-4C5A-8820-07B0EDCEFCA5}" keepAlive="1" name="Query - 02_readmission_breakdown" description="Connection to the '02_readmission_breakdown' query in the workbook." type="5" refreshedVersion="8" background="1" saveData="1">
    <dbPr connection="Provider=Microsoft.Mashup.OleDb.1;Data Source=$Workbook$;Location=02_readmission_breakdown;Extended Properties=&quot;&quot;" command="SELECT * FROM [02_readmission_breakdown]"/>
  </connection>
  <connection id="3" xr16:uid="{31846745-2E5C-402E-9651-FCED9E360A5E}" keepAlive="1" name="Query - 03_30_day_rate" description="Connection to the '03_30_day_rate' query in the workbook." type="5" refreshedVersion="8" background="1" saveData="1">
    <dbPr connection="Provider=Microsoft.Mashup.OleDb.1;Data Source=$Workbook$;Location=03_30_day_rate;Extended Properties=&quot;&quot;" command="SELECT * FROM [03_30_day_rate]"/>
  </connection>
  <connection id="4" xr16:uid="{BED08559-EDFF-44E4-9EF2-B6A8EAB938A6}" keepAlive="1" name="Query - 04_age_group" description="Connection to the '04_age_group' query in the workbook." type="5" refreshedVersion="8" background="1" saveData="1">
    <dbPr connection="Provider=Microsoft.Mashup.OleDb.1;Data Source=$Workbook$;Location=04_age_group;Extended Properties=&quot;&quot;" command="SELECT * FROM [04_age_group]"/>
  </connection>
  <connection id="5" xr16:uid="{D2D16A03-C101-4632-A2EE-100F46A45F00}" keepAlive="1" name="Query - 05_length_of_stay" description="Connection to the '05_length_of_stay' query in the workbook." type="5" refreshedVersion="8" background="1" saveData="1">
    <dbPr connection="Provider=Microsoft.Mashup.OleDb.1;Data Source=$Workbook$;Location=05_length_of_stay;Extended Properties=&quot;&quot;" command="SELECT * FROM [05_length_of_stay]"/>
  </connection>
  <connection id="6" xr16:uid="{797C5630-89B5-49A0-896F-A7A64E91F54B}" keepAlive="1" name="Query - 06_medication_group" description="Connection to the '06_medication_group' query in the workbook." type="5" refreshedVersion="8" background="1" saveData="1">
    <dbPr connection="Provider=Microsoft.Mashup.OleDb.1;Data Source=$Workbook$;Location=06_medication_group;Extended Properties=&quot;&quot;" command="SELECT * FROM [06_medication_group]"/>
  </connection>
  <connection id="7" xr16:uid="{86E66E5D-17A6-4E44-83C1-FE72BBE0A22B}" keepAlive="1" name="Query - 07_emergency_visits" description="Connection to the '07_emergency_visits' query in the workbook." type="5" refreshedVersion="8" background="1" saveData="1">
    <dbPr connection="Provider=Microsoft.Mashup.OleDb.1;Data Source=$Workbook$;Location=07_emergency_visits;Extended Properties=&quot;&quot;" command="SELECT * FROM [07_emergency_visits]"/>
  </connection>
  <connection id="8" xr16:uid="{487046C4-15E6-4D98-8604-711E15548872}" keepAlive="1" name="Query - 08_diabetes_med" description="Connection to the '08_diabetes_med' query in the workbook." type="5" refreshedVersion="8" background="1" saveData="1">
    <dbPr connection="Provider=Microsoft.Mashup.OleDb.1;Data Source=$Workbook$;Location=08_diabetes_med;Extended Properties=&quot;&quot;" command="SELECT * FROM [08_diabetes_med]"/>
  </connection>
  <connection id="9" xr16:uid="{B3EC75CC-4EE1-4DEA-9448-D4DAD0E82D03}" keepAlive="1" name="Query - 09_a1c_result" description="Connection to the '09_a1c_result' query in the workbook." type="5" refreshedVersion="8" background="1" saveData="1">
    <dbPr connection="Provider=Microsoft.Mashup.OleDb.1;Data Source=$Workbook$;Location=09_a1c_result;Extended Properties=&quot;&quot;" command="SELECT * FROM [09_a1c_result]"/>
  </connection>
  <connection id="10" xr16:uid="{E753781B-233B-4AAB-8183-8DF465D504B4}" keepAlive="1" name="Query - 10_high_risk_segments" description="Connection to the '10_high_risk_segments' query in the workbook." type="5" refreshedVersion="8" background="1" saveData="1">
    <dbPr connection="Provider=Microsoft.Mashup.OleDb.1;Data Source=$Workbook$;Location=10_high_risk_segments;Extended Properties=&quot;&quot;" command="SELECT * FROM [10_high_risk_segments]"/>
  </connection>
</connections>
</file>

<file path=xl/sharedStrings.xml><?xml version="1.0" encoding="utf-8"?>
<sst xmlns="http://schemas.openxmlformats.org/spreadsheetml/2006/main" count="268" uniqueCount="77">
  <si>
    <t>Total_Encounters</t>
  </si>
  <si>
    <t>Unique_Patients</t>
  </si>
  <si>
    <t>Not Readmitted</t>
  </si>
  <si>
    <t>Readmitted After 30 Days</t>
  </si>
  <si>
    <t>Readmitted Within 30 Days</t>
  </si>
  <si>
    <t>Readmission_Group</t>
  </si>
  <si>
    <t>Total_Count</t>
  </si>
  <si>
    <t>Percentage</t>
  </si>
  <si>
    <t>Readmission_30_Day_Rate</t>
  </si>
  <si>
    <t>[0-10)</t>
  </si>
  <si>
    <t>[10-20)</t>
  </si>
  <si>
    <t>[20-30)</t>
  </si>
  <si>
    <t>[30-40)</t>
  </si>
  <si>
    <t>[40-50)</t>
  </si>
  <si>
    <t>[50-60)</t>
  </si>
  <si>
    <t>[60-70)</t>
  </si>
  <si>
    <t>[70-80)</t>
  </si>
  <si>
    <t>[80-90)</t>
  </si>
  <si>
    <t>[90-100)</t>
  </si>
  <si>
    <t>Age</t>
  </si>
  <si>
    <t>Readmitted_Within_30_Days</t>
  </si>
  <si>
    <t>Long Stay</t>
  </si>
  <si>
    <t>Medium Stay</t>
  </si>
  <si>
    <t>Short Stay</t>
  </si>
  <si>
    <t>Stay_Group</t>
  </si>
  <si>
    <t>Total</t>
  </si>
  <si>
    <t>Readmitted</t>
  </si>
  <si>
    <t>Rate</t>
  </si>
  <si>
    <t>Medication_Group</t>
  </si>
  <si>
    <t>3+ Emergency Visits</t>
  </si>
  <si>
    <t>1-2 Emergency Visits</t>
  </si>
  <si>
    <t>No Emergency Visit</t>
  </si>
  <si>
    <t>Emergency_Visit_Group</t>
  </si>
  <si>
    <t>None</t>
  </si>
  <si>
    <t>&gt;7</t>
  </si>
  <si>
    <t>&gt;8</t>
  </si>
  <si>
    <t>Norm</t>
  </si>
  <si>
    <t>Short Stay (1-3 days)</t>
  </si>
  <si>
    <t>Medium Stay (4-7 days)</t>
  </si>
  <si>
    <t>Long Stay (8+ days)</t>
  </si>
  <si>
    <t>Total Enocunters</t>
  </si>
  <si>
    <t>Unique Patients</t>
  </si>
  <si>
    <t>30-Day Readmission Rate</t>
  </si>
  <si>
    <t>Hospital Readmission Analysis Dashboard</t>
  </si>
  <si>
    <t>Readmitted _Within_30_Days</t>
  </si>
  <si>
    <t>High  (21+)</t>
  </si>
  <si>
    <t>Medium  (11-20)</t>
  </si>
  <si>
    <t>Low (1-10)</t>
  </si>
  <si>
    <t>Diabetes_Status</t>
  </si>
  <si>
    <t>No</t>
  </si>
  <si>
    <t>Yes</t>
  </si>
  <si>
    <t>Not_Readmitted</t>
  </si>
  <si>
    <t>Readmitted_Percentage</t>
  </si>
  <si>
    <t>Not_Readmitted_Percentage</t>
  </si>
  <si>
    <t>A1C_Result</t>
  </si>
  <si>
    <t>Patients</t>
  </si>
  <si>
    <t>Readmission %</t>
  </si>
  <si>
    <t>Highest Risk Patient Segments</t>
  </si>
  <si>
    <t>Readmission Breakdown</t>
  </si>
  <si>
    <t>30-Day Readmission Rate by Age Group (%)</t>
  </si>
  <si>
    <t>30-Day Readmission Rate by Length of Stay (%)</t>
  </si>
  <si>
    <t>Readmission Rate by Emergency Visits (%)</t>
  </si>
  <si>
    <t>Medication Impact on Readmission</t>
  </si>
  <si>
    <t>Readmission Distribution by Diabetes Status</t>
  </si>
  <si>
    <t>30-Day Readmission Rate by A1C Result</t>
  </si>
  <si>
    <t>KEY INSIGHTS</t>
  </si>
  <si>
    <t>• Patients with 3+ emergency visits showed highest readmission rates</t>
  </si>
  <si>
    <t>• Short hospital stays were associated with increased readmission risk</t>
  </si>
  <si>
    <t>• Diabetes patients had slightly higher readmission percentages</t>
  </si>
  <si>
    <t>• Age groups 30–80 demonstrated elevated readmission trends</t>
  </si>
  <si>
    <t>• Medium medication count patients represented largest readmission volume</t>
  </si>
  <si>
    <t>RECOMMENDATIONS</t>
  </si>
  <si>
    <t>• Improve follow-up monitoring for high emergency visit patients</t>
  </si>
  <si>
    <t>• Strengthen discharge planning for short-stay patients</t>
  </si>
  <si>
    <t>• Prioritize preventive care for diabetes patients</t>
  </si>
  <si>
    <t>• Focus care management on high-risk age groups</t>
  </si>
  <si>
    <t>• Monitor medication adherence to reduce readmission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</si>
</sst>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20"/>
      <color rgb="FF000000"/>
      <name val="Aptos Narrow"/>
      <family val="2"/>
      <scheme val="minor"/>
    </font>
    <font>
      <b/>
      <sz val="20"/>
      <color rgb="FF595959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8"/>
      <color theme="3" tint="0.249977111117893"/>
      <name val="Aptos Narrow"/>
      <family val="2"/>
      <scheme val="minor"/>
    </font>
    <font>
      <sz val="28"/>
      <color theme="3" tint="0.499984740745262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theme="4" tint="0.79998168889431442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164" fontId="0" fillId="0" borderId="0" xfId="1" applyNumberFormat="1" applyFont="1"/>
    <xf numFmtId="0" fontId="3" fillId="2" borderId="0" xfId="0" applyFont="1" applyFill="1" applyAlignment="1">
      <alignment horizontal="center" vertical="center"/>
    </xf>
    <xf numFmtId="0" fontId="4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7" fillId="4" borderId="1" xfId="0" applyFont="1" applyFill="1" applyBorder="1"/>
    <xf numFmtId="0" fontId="7" fillId="4" borderId="2" xfId="0" applyFont="1" applyFill="1" applyBorder="1"/>
    <xf numFmtId="0" fontId="7" fillId="4" borderId="3" xfId="0" applyFont="1" applyFill="1" applyBorder="1"/>
    <xf numFmtId="0" fontId="3" fillId="7" borderId="1" xfId="0" applyFont="1" applyFill="1" applyBorder="1"/>
    <xf numFmtId="0" fontId="3" fillId="7" borderId="2" xfId="0" applyFont="1" applyFill="1" applyBorder="1"/>
    <xf numFmtId="0" fontId="4" fillId="5" borderId="3" xfId="0" applyFont="1" applyFill="1" applyBorder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5" borderId="1" xfId="0" applyFont="1" applyFill="1" applyBorder="1"/>
    <xf numFmtId="0" fontId="4" fillId="5" borderId="2" xfId="0" applyFont="1" applyFill="1" applyBorder="1"/>
    <xf numFmtId="0" fontId="4" fillId="0" borderId="4" xfId="0" applyFont="1" applyBorder="1"/>
    <xf numFmtId="0" fontId="3" fillId="2" borderId="4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9" fillId="8" borderId="5" xfId="0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 vertical="center"/>
    </xf>
    <xf numFmtId="0" fontId="3" fillId="0" borderId="4" xfId="0" applyFont="1" applyBorder="1"/>
    <xf numFmtId="0" fontId="7" fillId="6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10" fillId="3" borderId="0" xfId="0" applyFont="1" applyFill="1" applyAlignment="1">
      <alignment horizontal="center" wrapText="1"/>
    </xf>
    <xf numFmtId="0" fontId="11" fillId="3" borderId="0" xfId="0" applyFont="1" applyFill="1" applyAlignment="1">
      <alignment horizontal="center" wrapText="1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 readingOrder="1"/>
    </xf>
    <xf numFmtId="0" fontId="6" fillId="0" borderId="4" xfId="0" applyFont="1" applyBorder="1" applyAlignment="1">
      <alignment horizontal="center" vertical="center" readingOrder="1"/>
    </xf>
  </cellXfs>
  <cellStyles count="2">
    <cellStyle name="Normal" xfId="0" builtinId="0"/>
    <cellStyle name="Percent" xfId="1" builtinId="5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%"/>
    </dxf>
    <dxf>
      <numFmt numFmtId="164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370319335083115"/>
          <c:y val="0.23533994847227541"/>
          <c:w val="0.43037160979877515"/>
          <c:h val="0.67864117182461259"/>
        </c:manualLayout>
      </c:layout>
      <c:doughnut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solidFill>
                <a:schemeClr val="bg2">
                  <a:lumMod val="5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F68-4AF8-A596-F363CAB3A6BD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68-4AF8-A596-F363CAB3A6BD}"/>
              </c:ext>
            </c:extLst>
          </c:dPt>
          <c:dPt>
            <c:idx val="2"/>
            <c:bubble3D val="0"/>
            <c:spPr>
              <a:solidFill>
                <a:srgbClr val="C0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F68-4AF8-A596-F363CAB3A6BD}"/>
              </c:ext>
            </c:extLst>
          </c:dPt>
          <c:dLbls>
            <c:dLbl>
              <c:idx val="0"/>
              <c:layout>
                <c:manualLayout>
                  <c:x val="0.16944444444444434"/>
                  <c:y val="-7.84542372413697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68-4AF8-A596-F363CAB3A6BD}"/>
                </c:ext>
              </c:extLst>
            </c:dLbl>
            <c:dLbl>
              <c:idx val="1"/>
              <c:layout>
                <c:manualLayout>
                  <c:x val="-0.15833333333333333"/>
                  <c:y val="1.388888888888888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68-4AF8-A596-F363CAB3A6BD}"/>
                </c:ext>
              </c:extLst>
            </c:dLbl>
            <c:dLbl>
              <c:idx val="2"/>
              <c:layout>
                <c:manualLayout>
                  <c:x val="-7.4999999999999997E-2"/>
                  <c:y val="-0.1173773284909688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68-4AF8-A596-F363CAB3A6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Readmission!$A$2:$A$4</c:f>
              <c:strCache>
                <c:ptCount val="3"/>
                <c:pt idx="0">
                  <c:v>Not Readmitted</c:v>
                </c:pt>
                <c:pt idx="1">
                  <c:v>Readmitted After 30 Days</c:v>
                </c:pt>
                <c:pt idx="2">
                  <c:v>Readmitted Within 30 Days</c:v>
                </c:pt>
              </c:strCache>
            </c:strRef>
          </c:cat>
          <c:val>
            <c:numRef>
              <c:f>Readmission!$C$2:$C$4</c:f>
              <c:numCache>
                <c:formatCode>General</c:formatCode>
                <c:ptCount val="3"/>
                <c:pt idx="0">
                  <c:v>53.91</c:v>
                </c:pt>
                <c:pt idx="1">
                  <c:v>34.93</c:v>
                </c:pt>
                <c:pt idx="2">
                  <c:v>11.16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68-4AF8-A596-F363CAB3A6B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Age!$D$1</c:f>
              <c:strCache>
                <c:ptCount val="1"/>
                <c:pt idx="0">
                  <c:v>Readmission_30_Day_Rate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strRef>
              <c:f>Age!$A$2:$A$11</c:f>
              <c:strCache>
                <c:ptCount val="10"/>
                <c:pt idx="0">
                  <c:v>[0-10)</c:v>
                </c:pt>
                <c:pt idx="1">
                  <c:v>[10-20)</c:v>
                </c:pt>
                <c:pt idx="2">
                  <c:v>[20-30)</c:v>
                </c:pt>
                <c:pt idx="3">
                  <c:v>[30-40)</c:v>
                </c:pt>
                <c:pt idx="4">
                  <c:v>[40-50)</c:v>
                </c:pt>
                <c:pt idx="5">
                  <c:v>[50-60)</c:v>
                </c:pt>
                <c:pt idx="6">
                  <c:v>[60-70)</c:v>
                </c:pt>
                <c:pt idx="7">
                  <c:v>[70-80)</c:v>
                </c:pt>
                <c:pt idx="8">
                  <c:v>[80-90)</c:v>
                </c:pt>
                <c:pt idx="9">
                  <c:v>[90-100)</c:v>
                </c:pt>
              </c:strCache>
            </c:strRef>
          </c:cat>
          <c:val>
            <c:numRef>
              <c:f>Age!$D$2:$D$11</c:f>
              <c:numCache>
                <c:formatCode>General</c:formatCode>
                <c:ptCount val="10"/>
                <c:pt idx="0">
                  <c:v>1.86</c:v>
                </c:pt>
                <c:pt idx="1">
                  <c:v>5.79</c:v>
                </c:pt>
                <c:pt idx="2">
                  <c:v>14.24</c:v>
                </c:pt>
                <c:pt idx="3">
                  <c:v>11.23</c:v>
                </c:pt>
                <c:pt idx="4">
                  <c:v>10.6</c:v>
                </c:pt>
                <c:pt idx="5">
                  <c:v>9.67</c:v>
                </c:pt>
                <c:pt idx="6">
                  <c:v>11.13</c:v>
                </c:pt>
                <c:pt idx="7">
                  <c:v>11.77</c:v>
                </c:pt>
                <c:pt idx="8">
                  <c:v>12.08</c:v>
                </c:pt>
                <c:pt idx="9">
                  <c:v>11.1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3-4DBC-B5BF-FAD6BA778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449865887"/>
        <c:axId val="1449863007"/>
      </c:barChart>
      <c:catAx>
        <c:axId val="144986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863007"/>
        <c:crosses val="autoZero"/>
        <c:auto val="1"/>
        <c:lblAlgn val="ctr"/>
        <c:lblOffset val="100"/>
        <c:noMultiLvlLbl val="0"/>
      </c:catAx>
      <c:valAx>
        <c:axId val="1449863007"/>
        <c:scaling>
          <c:orientation val="minMax"/>
          <c:max val="16"/>
        </c:scaling>
        <c:delete val="0"/>
        <c:axPos val="l"/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86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025371828521445E-2"/>
          <c:y val="0.17634259259259263"/>
          <c:w val="0.90297462817147855"/>
          <c:h val="0.6153546952464275"/>
        </c:manualLayout>
      </c:layout>
      <c:barChart>
        <c:barDir val="col"/>
        <c:grouping val="clustered"/>
        <c:varyColors val="0"/>
        <c:ser>
          <c:idx val="2"/>
          <c:order val="2"/>
          <c:tx>
            <c:strRef>
              <c:f>Length_Of_Stay!$D$1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Length_Of_Stay!$A$2:$A$4</c:f>
              <c:strCache>
                <c:ptCount val="3"/>
                <c:pt idx="0">
                  <c:v>Long Stay</c:v>
                </c:pt>
                <c:pt idx="1">
                  <c:v>Medium Stay</c:v>
                </c:pt>
                <c:pt idx="2">
                  <c:v>Short Stay</c:v>
                </c:pt>
              </c:strCache>
            </c:strRef>
          </c:cat>
          <c:val>
            <c:numRef>
              <c:f>Length_Of_Stay!$D$2:$D$4</c:f>
              <c:numCache>
                <c:formatCode>General</c:formatCode>
                <c:ptCount val="3"/>
                <c:pt idx="0">
                  <c:v>13.37</c:v>
                </c:pt>
                <c:pt idx="1">
                  <c:v>12.19</c:v>
                </c:pt>
                <c:pt idx="2">
                  <c:v>9.69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6-474D-96CB-137B7DE87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27"/>
        <c:axId val="14490543"/>
        <c:axId val="1449102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Length_Of_Stay!$B$1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Length_Of_Stay!$A$2:$A$4</c15:sqref>
                        </c15:formulaRef>
                      </c:ext>
                    </c:extLst>
                    <c:strCache>
                      <c:ptCount val="3"/>
                      <c:pt idx="0">
                        <c:v>Long Stay</c:v>
                      </c:pt>
                      <c:pt idx="1">
                        <c:v>Medium Stay</c:v>
                      </c:pt>
                      <c:pt idx="2">
                        <c:v>Short Stay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Length_Of_Stay!$B$2:$B$4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15290</c:v>
                      </c:pt>
                      <c:pt idx="1">
                        <c:v>37288</c:v>
                      </c:pt>
                      <c:pt idx="2">
                        <c:v>49188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496-474D-96CB-137B7DE8725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Length_Of_Stay!$C$1</c15:sqref>
                        </c15:formulaRef>
                      </c:ext>
                    </c:extLst>
                    <c:strCache>
                      <c:ptCount val="1"/>
                      <c:pt idx="0">
                        <c:v>Readmitted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Length_Of_Stay!$A$2:$A$4</c15:sqref>
                        </c15:formulaRef>
                      </c:ext>
                    </c:extLst>
                    <c:strCache>
                      <c:ptCount val="3"/>
                      <c:pt idx="0">
                        <c:v>Long Stay</c:v>
                      </c:pt>
                      <c:pt idx="1">
                        <c:v>Medium Stay</c:v>
                      </c:pt>
                      <c:pt idx="2">
                        <c:v>Short Stay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Length_Of_Stay!$C$2:$C$4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2045</c:v>
                      </c:pt>
                      <c:pt idx="1">
                        <c:v>4544</c:v>
                      </c:pt>
                      <c:pt idx="2">
                        <c:v>4768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496-474D-96CB-137B7DE8725C}"/>
                  </c:ext>
                </c:extLst>
              </c15:ser>
            </c15:filteredBarSeries>
          </c:ext>
        </c:extLst>
      </c:barChart>
      <c:catAx>
        <c:axId val="1449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1023"/>
        <c:crosses val="autoZero"/>
        <c:auto val="1"/>
        <c:lblAlgn val="ctr"/>
        <c:lblOffset val="100"/>
        <c:noMultiLvlLbl val="0"/>
      </c:catAx>
      <c:valAx>
        <c:axId val="14491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9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2"/>
          <c:order val="0"/>
          <c:tx>
            <c:v>Readmission Rate</c:v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6AB-4FD1-82AE-0E33DCE584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Emergency_Visits!$A$2:$A$4</c:f>
              <c:strCache>
                <c:ptCount val="3"/>
                <c:pt idx="0">
                  <c:v>3+ Emergency Visits</c:v>
                </c:pt>
                <c:pt idx="1">
                  <c:v>1-2 Emergency Visits</c:v>
                </c:pt>
                <c:pt idx="2">
                  <c:v>No Emergency Visit</c:v>
                </c:pt>
              </c:strCache>
            </c:strRef>
          </c:cat>
          <c:val>
            <c:numRef>
              <c:f>Emergency_Visits!$D$2:$D$4</c:f>
              <c:numCache>
                <c:formatCode>General</c:formatCode>
                <c:ptCount val="3"/>
                <c:pt idx="0">
                  <c:v>24.94</c:v>
                </c:pt>
                <c:pt idx="1">
                  <c:v>15.18</c:v>
                </c:pt>
                <c:pt idx="2">
                  <c:v>10.47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AB-4FD1-82AE-0E33DCE5846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63979599"/>
        <c:axId val="1363978159"/>
      </c:barChart>
      <c:catAx>
        <c:axId val="1363979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978159"/>
        <c:crosses val="autoZero"/>
        <c:auto val="1"/>
        <c:lblAlgn val="ctr"/>
        <c:lblOffset val="100"/>
        <c:noMultiLvlLbl val="0"/>
      </c:catAx>
      <c:valAx>
        <c:axId val="1363978159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3979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803149606299206E-2"/>
          <c:y val="0.12541666666666668"/>
          <c:w val="0.84172703412073491"/>
          <c:h val="0.7675543161271507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Medication_Group!$C$1</c:f>
              <c:strCache>
                <c:ptCount val="1"/>
                <c:pt idx="0">
                  <c:v>Readmitted_Within_30_Days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strRef>
              <c:f>Medication_Group!$A$2:$A$4</c:f>
              <c:strCache>
                <c:ptCount val="3"/>
                <c:pt idx="0">
                  <c:v>High  (21+)</c:v>
                </c:pt>
                <c:pt idx="1">
                  <c:v>Medium  (11-20)</c:v>
                </c:pt>
                <c:pt idx="2">
                  <c:v>Low (1-10)</c:v>
                </c:pt>
              </c:strCache>
            </c:strRef>
          </c:cat>
          <c:val>
            <c:numRef>
              <c:f>Medication_Group!$C$2:$C$4</c:f>
              <c:numCache>
                <c:formatCode>General</c:formatCode>
                <c:ptCount val="3"/>
                <c:pt idx="0">
                  <c:v>3051</c:v>
                </c:pt>
                <c:pt idx="1">
                  <c:v>5962</c:v>
                </c:pt>
                <c:pt idx="2">
                  <c:v>2344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06-4DD1-B8A5-E3175C715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overlap val="-27"/>
        <c:axId val="220694432"/>
        <c:axId val="220694912"/>
      </c:barChart>
      <c:lineChart>
        <c:grouping val="standard"/>
        <c:varyColors val="0"/>
        <c:ser>
          <c:idx val="2"/>
          <c:order val="1"/>
          <c:tx>
            <c:strRef>
              <c:f>Medication_Group!$D$1</c:f>
              <c:strCache>
                <c:ptCount val="1"/>
                <c:pt idx="0">
                  <c:v>Readmission_30_Day_Rate</c:v>
                </c:pt>
              </c:strCache>
            </c:strRef>
          </c:tx>
          <c:spPr>
            <a:ln w="3810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/>
              </a:solidFill>
              <a:ln w="9525">
                <a:solidFill>
                  <a:srgbClr val="C0000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4750000000000003E-2"/>
                  <c:y val="-5.320610965296004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E06-4DD1-B8A5-E3175C715338}"/>
                </c:ext>
              </c:extLst>
            </c:dLbl>
            <c:dLbl>
              <c:idx val="1"/>
              <c:layout>
                <c:manualLayout>
                  <c:x val="-5.0027777777777775E-2"/>
                  <c:y val="-0.106446850393700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E06-4DD1-B8A5-E3175C715338}"/>
                </c:ext>
              </c:extLst>
            </c:dLbl>
            <c:numFmt formatCode="0.0\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ln>
                      <a:solidFill>
                        <a:schemeClr val="tx1"/>
                      </a:solidFill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Medication_Group!$A$2:$A$4</c:f>
              <c:strCache>
                <c:ptCount val="3"/>
                <c:pt idx="0">
                  <c:v>High  (21+)</c:v>
                </c:pt>
                <c:pt idx="1">
                  <c:v>Medium  (11-20)</c:v>
                </c:pt>
                <c:pt idx="2">
                  <c:v>Low (1-10)</c:v>
                </c:pt>
              </c:strCache>
            </c:strRef>
          </c:cat>
          <c:val>
            <c:numRef>
              <c:f>Medication_Group!$D$2:$D$4</c:f>
              <c:numCache>
                <c:formatCode>General</c:formatCode>
                <c:ptCount val="3"/>
                <c:pt idx="0">
                  <c:v>12.78</c:v>
                </c:pt>
                <c:pt idx="1">
                  <c:v>11.46</c:v>
                </c:pt>
                <c:pt idx="2">
                  <c:v>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06-4DD1-B8A5-E3175C715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680992"/>
        <c:axId val="220683872"/>
      </c:lineChart>
      <c:catAx>
        <c:axId val="220694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694912"/>
        <c:crosses val="autoZero"/>
        <c:auto val="1"/>
        <c:lblAlgn val="ctr"/>
        <c:lblOffset val="100"/>
        <c:noMultiLvlLbl val="0"/>
      </c:catAx>
      <c:valAx>
        <c:axId val="220694912"/>
        <c:scaling>
          <c:orientation val="minMax"/>
          <c:max val="6500"/>
          <c:min val="0"/>
        </c:scaling>
        <c:delete val="0"/>
        <c:axPos val="l"/>
        <c:numFmt formatCode="0,\ 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694432"/>
        <c:crosses val="autoZero"/>
        <c:crossBetween val="between"/>
      </c:valAx>
      <c:valAx>
        <c:axId val="220683872"/>
        <c:scaling>
          <c:orientation val="minMax"/>
          <c:max val="14"/>
          <c:min val="0"/>
        </c:scaling>
        <c:delete val="0"/>
        <c:axPos val="r"/>
        <c:numFmt formatCode="0\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680992"/>
        <c:crosses val="max"/>
        <c:crossBetween val="between"/>
      </c:valAx>
      <c:catAx>
        <c:axId val="2206809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06838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859954885594566E-2"/>
          <c:y val="0.17171296296296296"/>
          <c:w val="0.80444135503903658"/>
          <c:h val="0.72125801983085447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Diabetes_Med!$B$1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Diabetes_Med!$A$2:$A$3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Diabetes_Med!$B$2:$B$3</c:f>
            </c:numRef>
          </c:val>
          <c:extLst>
            <c:ext xmlns:c16="http://schemas.microsoft.com/office/drawing/2014/chart" uri="{C3380CC4-5D6E-409C-BE32-E72D297353CC}">
              <c16:uniqueId val="{00000000-077B-48E1-B93F-96E366E2274C}"/>
            </c:ext>
          </c:extLst>
        </c:ser>
        <c:ser>
          <c:idx val="1"/>
          <c:order val="1"/>
          <c:tx>
            <c:strRef>
              <c:f>Diabetes_Med!$C$1</c:f>
              <c:strCache>
                <c:ptCount val="1"/>
                <c:pt idx="0">
                  <c:v>Readmitted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Diabetes_Med!$A$2:$A$3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Diabetes_Med!$C$2:$C$3</c:f>
            </c:numRef>
          </c:val>
          <c:extLst>
            <c:ext xmlns:c16="http://schemas.microsoft.com/office/drawing/2014/chart" uri="{C3380CC4-5D6E-409C-BE32-E72D297353CC}">
              <c16:uniqueId val="{00000001-077B-48E1-B93F-96E366E2274C}"/>
            </c:ext>
          </c:extLst>
        </c:ser>
        <c:ser>
          <c:idx val="2"/>
          <c:order val="2"/>
          <c:tx>
            <c:strRef>
              <c:f>Diabetes_Med!$D$1</c:f>
              <c:strCache>
                <c:ptCount val="1"/>
                <c:pt idx="0">
                  <c:v>Rate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Diabetes_Med!$A$2:$A$3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Diabetes_Med!$D$2:$D$3</c:f>
            </c:numRef>
          </c:val>
          <c:extLst>
            <c:ext xmlns:c16="http://schemas.microsoft.com/office/drawing/2014/chart" uri="{C3380CC4-5D6E-409C-BE32-E72D297353CC}">
              <c16:uniqueId val="{00000002-077B-48E1-B93F-96E366E2274C}"/>
            </c:ext>
          </c:extLst>
        </c:ser>
        <c:ser>
          <c:idx val="3"/>
          <c:order val="3"/>
          <c:tx>
            <c:strRef>
              <c:f>Diabetes_Med!$E$1</c:f>
              <c:strCache>
                <c:ptCount val="1"/>
                <c:pt idx="0">
                  <c:v>Not_Readmitted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Diabetes_Med!$A$2:$A$3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Diabetes_Med!$E$2:$E$3</c:f>
            </c:numRef>
          </c:val>
          <c:extLst>
            <c:ext xmlns:c16="http://schemas.microsoft.com/office/drawing/2014/chart" uri="{C3380CC4-5D6E-409C-BE32-E72D297353CC}">
              <c16:uniqueId val="{00000003-077B-48E1-B93F-96E366E2274C}"/>
            </c:ext>
          </c:extLst>
        </c:ser>
        <c:ser>
          <c:idx val="4"/>
          <c:order val="4"/>
          <c:tx>
            <c:strRef>
              <c:f>Diabetes_Med!$F$1</c:f>
              <c:strCache>
                <c:ptCount val="1"/>
                <c:pt idx="0">
                  <c:v>Readmitted_Percentage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Diabetes_Med!$A$2:$A$3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Diabetes_Med!$F$2:$F$3</c:f>
              <c:numCache>
                <c:formatCode>0.0%</c:formatCode>
                <c:ptCount val="2"/>
                <c:pt idx="0">
                  <c:v>9.5970602059565008E-2</c:v>
                </c:pt>
                <c:pt idx="1">
                  <c:v>0.11626660541326901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7B-48E1-B93F-96E366E2274C}"/>
            </c:ext>
          </c:extLst>
        </c:ser>
        <c:ser>
          <c:idx val="5"/>
          <c:order val="5"/>
          <c:tx>
            <c:strRef>
              <c:f>Diabetes_Med!$G$1</c:f>
              <c:strCache>
                <c:ptCount val="1"/>
                <c:pt idx="0">
                  <c:v>Not_Readmitted_Percentage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39716028167629897"/>
                  <c:y val="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77B-48E1-B93F-96E366E2274C}"/>
                </c:ext>
              </c:extLst>
            </c:dLbl>
            <c:dLbl>
              <c:idx val="1"/>
              <c:layout>
                <c:manualLayout>
                  <c:x val="0.38874876570243505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77B-48E1-B93F-96E366E2274C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Diabetes_Med!$A$2:$A$3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Diabetes_Med!$G$2:$G$3</c:f>
              <c:numCache>
                <c:formatCode>0.0%</c:formatCode>
                <c:ptCount val="2"/>
                <c:pt idx="0">
                  <c:v>0.90402939794043502</c:v>
                </c:pt>
                <c:pt idx="1">
                  <c:v>0.88373339458673095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77B-48E1-B93F-96E366E22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570315119"/>
        <c:axId val="570303119"/>
      </c:barChart>
      <c:catAx>
        <c:axId val="57031511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303119"/>
        <c:crosses val="autoZero"/>
        <c:auto val="1"/>
        <c:lblAlgn val="ctr"/>
        <c:lblOffset val="100"/>
        <c:noMultiLvlLbl val="0"/>
      </c:catAx>
      <c:valAx>
        <c:axId val="570303119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570315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A1c_Result!$B$1</c:f>
              <c:strCache>
                <c:ptCount val="1"/>
                <c:pt idx="0">
                  <c:v>Total_Encounters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A1c_Result!$A$2:$A$5</c:f>
              <c:strCache>
                <c:ptCount val="4"/>
                <c:pt idx="0">
                  <c:v>None</c:v>
                </c:pt>
                <c:pt idx="1">
                  <c:v>&gt;7</c:v>
                </c:pt>
                <c:pt idx="2">
                  <c:v>&gt;8</c:v>
                </c:pt>
                <c:pt idx="3">
                  <c:v>Norm</c:v>
                </c:pt>
              </c:strCache>
            </c:strRef>
          </c:cat>
          <c:val>
            <c:numRef>
              <c:f>A1c_Result!$B$2:$B$5</c:f>
            </c:numRef>
          </c:val>
          <c:extLst>
            <c:ext xmlns:c16="http://schemas.microsoft.com/office/drawing/2014/chart" uri="{C3380CC4-5D6E-409C-BE32-E72D297353CC}">
              <c16:uniqueId val="{00000000-57F2-4B68-B80C-6FA3BA5CA55A}"/>
            </c:ext>
          </c:extLst>
        </c:ser>
        <c:ser>
          <c:idx val="1"/>
          <c:order val="1"/>
          <c:tx>
            <c:strRef>
              <c:f>A1c_Result!$C$1</c:f>
              <c:strCache>
                <c:ptCount val="1"/>
                <c:pt idx="0">
                  <c:v>Readmitted_Within_30_Days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A1c_Result!$A$2:$A$5</c:f>
              <c:strCache>
                <c:ptCount val="4"/>
                <c:pt idx="0">
                  <c:v>None</c:v>
                </c:pt>
                <c:pt idx="1">
                  <c:v>&gt;7</c:v>
                </c:pt>
                <c:pt idx="2">
                  <c:v>&gt;8</c:v>
                </c:pt>
                <c:pt idx="3">
                  <c:v>Norm</c:v>
                </c:pt>
              </c:strCache>
            </c:strRef>
          </c:cat>
          <c:val>
            <c:numRef>
              <c:f>A1c_Result!$C$2:$C$5</c:f>
            </c:numRef>
          </c:val>
          <c:extLst>
            <c:ext xmlns:c16="http://schemas.microsoft.com/office/drawing/2014/chart" uri="{C3380CC4-5D6E-409C-BE32-E72D297353CC}">
              <c16:uniqueId val="{00000001-57F2-4B68-B80C-6FA3BA5CA55A}"/>
            </c:ext>
          </c:extLst>
        </c:ser>
        <c:ser>
          <c:idx val="2"/>
          <c:order val="2"/>
          <c:tx>
            <c:strRef>
              <c:f>A1c_Result!$D$1</c:f>
              <c:strCache>
                <c:ptCount val="1"/>
                <c:pt idx="0">
                  <c:v>Readmission_30_Day_Rate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7F2-4B68-B80C-6FA3BA5CA55A}"/>
              </c:ext>
            </c:extLst>
          </c:dPt>
          <c:dPt>
            <c:idx val="1"/>
            <c:invertIfNegative val="0"/>
            <c:bubble3D val="0"/>
            <c:spPr>
              <a:solidFill>
                <a:srgbClr val="002060"/>
              </a:solidFill>
              <a:ln>
                <a:solidFill>
                  <a:srgbClr val="00206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206B-41A1-BA83-BBDAC41BBC39}"/>
              </c:ext>
            </c:extLst>
          </c:dPt>
          <c:dPt>
            <c:idx val="2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solidFill>
                  <a:schemeClr val="tx2">
                    <a:lumMod val="50000"/>
                    <a:lumOff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F2-4B68-B80C-6FA3BA5CA55A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/>
              </a:solidFill>
              <a:ln>
                <a:solidFill>
                  <a:schemeClr val="tx2">
                    <a:lumMod val="10000"/>
                    <a:lumOff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F2-4B68-B80C-6FA3BA5CA55A}"/>
              </c:ext>
            </c:extLst>
          </c:dPt>
          <c:dLbls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A1c_Result!$A$2:$A$5</c:f>
              <c:strCache>
                <c:ptCount val="4"/>
                <c:pt idx="0">
                  <c:v>None</c:v>
                </c:pt>
                <c:pt idx="1">
                  <c:v>&gt;7</c:v>
                </c:pt>
                <c:pt idx="2">
                  <c:v>&gt;8</c:v>
                </c:pt>
                <c:pt idx="3">
                  <c:v>Norm</c:v>
                </c:pt>
              </c:strCache>
            </c:strRef>
          </c:cat>
          <c:val>
            <c:numRef>
              <c:f>A1c_Result!$D$2:$D$5</c:f>
              <c:numCache>
                <c:formatCode>General</c:formatCode>
                <c:ptCount val="4"/>
                <c:pt idx="0">
                  <c:v>11.42</c:v>
                </c:pt>
                <c:pt idx="1">
                  <c:v>10.050000000000001</c:v>
                </c:pt>
                <c:pt idx="2">
                  <c:v>9.8699999999999992</c:v>
                </c:pt>
                <c:pt idx="3">
                  <c:v>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F2-4B68-B80C-6FA3BA5CA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93259263"/>
        <c:axId val="1193259743"/>
      </c:barChart>
      <c:catAx>
        <c:axId val="1193259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259743"/>
        <c:crosses val="autoZero"/>
        <c:auto val="1"/>
        <c:lblAlgn val="ctr"/>
        <c:lblOffset val="100"/>
        <c:noMultiLvlLbl val="0"/>
      </c:catAx>
      <c:valAx>
        <c:axId val="1193259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3259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7</xdr:col>
      <xdr:colOff>0</xdr:colOff>
      <xdr:row>31</xdr:row>
      <xdr:rowOff>169954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811EA6-0F60-4AE1-9F49-DEAC12B66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15</xdr:row>
      <xdr:rowOff>-1</xdr:rowOff>
    </xdr:from>
    <xdr:to>
      <xdr:col>14</xdr:col>
      <xdr:colOff>0</xdr:colOff>
      <xdr:row>31</xdr:row>
      <xdr:rowOff>183930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EE20A7-D5B7-433F-BCF7-263E89750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36</xdr:row>
      <xdr:rowOff>0</xdr:rowOff>
    </xdr:from>
    <xdr:to>
      <xdr:col>7</xdr:col>
      <xdr:colOff>0</xdr:colOff>
      <xdr:row>54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1A4111-5B4C-43CD-805D-34842DE6D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0</xdr:colOff>
      <xdr:row>36</xdr:row>
      <xdr:rowOff>0</xdr:rowOff>
    </xdr:from>
    <xdr:to>
      <xdr:col>14</xdr:col>
      <xdr:colOff>0</xdr:colOff>
      <xdr:row>54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0A3496-B822-49FD-8617-982C5E167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58</xdr:row>
      <xdr:rowOff>0</xdr:rowOff>
    </xdr:from>
    <xdr:to>
      <xdr:col>7</xdr:col>
      <xdr:colOff>0</xdr:colOff>
      <xdr:row>76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5BCE40-C5C3-45CF-89BA-D89276767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0</xdr:colOff>
      <xdr:row>58</xdr:row>
      <xdr:rowOff>0</xdr:rowOff>
    </xdr:from>
    <xdr:to>
      <xdr:col>14</xdr:col>
      <xdr:colOff>0</xdr:colOff>
      <xdr:row>76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E758E77-7C5F-41DA-8330-EA12F9E3A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11206</xdr:colOff>
      <xdr:row>79</xdr:row>
      <xdr:rowOff>0</xdr:rowOff>
    </xdr:from>
    <xdr:to>
      <xdr:col>7</xdr:col>
      <xdr:colOff>0</xdr:colOff>
      <xdr:row>96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CC579AE-C40F-461F-9243-B5237FCCAD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22412</xdr:colOff>
      <xdr:row>89</xdr:row>
      <xdr:rowOff>44823</xdr:rowOff>
    </xdr:from>
    <xdr:to>
      <xdr:col>14</xdr:col>
      <xdr:colOff>35550</xdr:colOff>
      <xdr:row>94</xdr:row>
      <xdr:rowOff>23186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8205E7F-A062-88E6-E1B3-D28BB770C732}"/>
            </a:ext>
          </a:extLst>
        </xdr:cNvPr>
        <xdr:cNvSpPr txBox="1"/>
      </xdr:nvSpPr>
      <xdr:spPr>
        <a:xfrm>
          <a:off x="11407588" y="13402235"/>
          <a:ext cx="8552021" cy="874833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/>
            <a:t>Patients with 3+ emergency visits and short hospital stays showed the highest readmission risk, especially among ages 30–80.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4C8BB0C-A61B-4245-855F-5336F2F60BF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A5944CB-9F3A-430C-ACE0-5DA8A42727CD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2311A65-1D46-402C-96AD-9C5A237A546D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D14531AD-566D-4AD4-9BD4-E1B85E10E96F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A4603B5A-A280-484D-AA51-E7AFD90D5A3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6" xr16:uid="{82ED569B-7D9E-4B35-8D91-30E30440283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" xr16:uid="{D0250A15-6E42-4735-8089-82D3C84B948C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8" xr16:uid="{C7370881-B957-489F-8BE0-A4551C3D417D}" autoFormatId="16" applyNumberFormats="0" applyBorderFormats="0" applyFontFormats="0" applyPatternFormats="0" applyAlignmentFormats="0" applyWidthHeightFormats="0">
  <queryTableRefresh nextId="12">
    <queryTableFields count="7">
      <queryTableField id="5" name="Diabetes_Status" tableColumnId="5"/>
      <queryTableField id="6" name="Total" tableColumnId="6"/>
      <queryTableField id="7" name="Readmitted" tableColumnId="7"/>
      <queryTableField id="8" name="Rate" tableColumnId="8"/>
      <queryTableField id="9" name="Not_Readmitted" tableColumnId="9"/>
      <queryTableField id="10" name="Readmitted_Percentage" tableColumnId="10"/>
      <queryTableField id="11" name="Not_Readmitted_Percentage" tableColumnId="11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9" xr16:uid="{AA396DD7-950A-414D-A82A-D56539BEFD5D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0" xr16:uid="{1A9CE414-C1F7-48D1-8E1C-9B7982D282A1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51EC7A-B802-4CA1-A0C8-753271555DD1}" name="_01_total_overview" displayName="_01_total_overview" ref="A1:B2" tableType="queryTable" totalsRowShown="0">
  <autoFilter ref="A1:B2" xr:uid="{0951EC7A-B802-4CA1-A0C8-753271555DD1}"/>
  <tableColumns count="2">
    <tableColumn id="1" xr3:uid="{98587611-E95A-4346-AB95-2EC69280467B}" uniqueName="1" name="Total_Encounters" queryTableFieldId="1"/>
    <tableColumn id="2" xr3:uid="{5E47C230-143D-4C64-8020-78CF0ACB47E4}" uniqueName="2" name="Unique_Patients" queryTableField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4F4AAE-1487-4C31-BB2E-F33DAEA136F5}" name="_02_readmission_breakdown" displayName="_02_readmission_breakdown" ref="A1:C4" tableType="queryTable" totalsRowShown="0">
  <autoFilter ref="A1:C4" xr:uid="{DA4F4AAE-1487-4C31-BB2E-F33DAEA136F5}"/>
  <tableColumns count="3">
    <tableColumn id="1" xr3:uid="{4DF3538A-77EC-40F5-AD73-23F6B9A81745}" uniqueName="1" name="Readmission_Group" queryTableFieldId="1" dataDxfId="11"/>
    <tableColumn id="2" xr3:uid="{8D1BDBA1-49AF-4E92-892F-9EC99DF0B594}" uniqueName="2" name="Total_Count" queryTableFieldId="2"/>
    <tableColumn id="3" xr3:uid="{FBE83AEF-F1E9-4D4B-A820-6D4E75869278}" uniqueName="3" name="Percentage" queryTableField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611F7B-5C00-47F0-9AB0-30D93F93AFD7}" name="_03_30_day_rate" displayName="_03_30_day_rate" ref="A1:A2" tableType="queryTable" totalsRowShown="0">
  <autoFilter ref="A1:A2" xr:uid="{36611F7B-5C00-47F0-9AB0-30D93F93AFD7}"/>
  <tableColumns count="1">
    <tableColumn id="1" xr3:uid="{00C6A3FF-4476-481E-90C0-0FB8C0919A9D}" uniqueName="1" name="Readmission_30_Day_Rate" queryTableField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73FA584-7068-4731-ACEF-3B0C77FE2AF7}" name="_04_age_group" displayName="_04_age_group" ref="A1:D11" tableType="queryTable" totalsRowShown="0">
  <autoFilter ref="A1:D11" xr:uid="{F73FA584-7068-4731-ACEF-3B0C77FE2AF7}"/>
  <tableColumns count="4">
    <tableColumn id="1" xr3:uid="{9419B006-E644-4C57-9510-3B397359DDA8}" uniqueName="1" name="Age" queryTableFieldId="1" dataDxfId="10"/>
    <tableColumn id="2" xr3:uid="{7F59D110-557D-4079-B552-A307DF98C793}" uniqueName="2" name="Total_Encounters" queryTableFieldId="2"/>
    <tableColumn id="3" xr3:uid="{4958F1F0-632E-48A5-B77F-1D1D35B1C141}" uniqueName="3" name="Readmitted _Within_30_Days" queryTableFieldId="3"/>
    <tableColumn id="4" xr3:uid="{AEBD3423-7A74-4EE0-BF73-53B626592107}" uniqueName="4" name="Readmission_30_Day_Rate" queryTableField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C6E8A5-94E5-4DCF-94AF-E353BEDA1999}" name="_05_length_of_stay" displayName="_05_length_of_stay" ref="A1:D4" tableType="queryTable" totalsRowShown="0">
  <autoFilter ref="A1:D4" xr:uid="{B4C6E8A5-94E5-4DCF-94AF-E353BEDA1999}"/>
  <tableColumns count="4">
    <tableColumn id="1" xr3:uid="{4A9B7FFC-D895-46D9-851A-00406BFA7CC9}" uniqueName="1" name="Stay_Group" queryTableFieldId="1" dataDxfId="9"/>
    <tableColumn id="2" xr3:uid="{F7D62ED0-4D34-4991-8FF2-950BFA4FB025}" uniqueName="2" name="Total" queryTableFieldId="2"/>
    <tableColumn id="3" xr3:uid="{D21E9831-5B71-473E-95C9-D99FD808D6C9}" uniqueName="3" name="Readmitted" queryTableFieldId="3"/>
    <tableColumn id="4" xr3:uid="{33FFFF78-9D63-48B8-8AE3-DA413D88DAB6}" uniqueName="4" name="Rate" queryTableFieldId="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7FDADA-F625-4023-883D-3E8A10B3F0B4}" name="_06_medication_group" displayName="_06_medication_group" ref="A1:D4" tableType="queryTable" totalsRowShown="0">
  <autoFilter ref="A1:D4" xr:uid="{4F7FDADA-F625-4023-883D-3E8A10B3F0B4}"/>
  <tableColumns count="4">
    <tableColumn id="1" xr3:uid="{801B1EDB-A689-43E8-956A-ACF3A2C0BD7C}" uniqueName="1" name="Medication_Group" queryTableFieldId="1" dataDxfId="8"/>
    <tableColumn id="2" xr3:uid="{75700622-A4F3-4032-8C53-01D957F74D3D}" uniqueName="2" name="Total_Encounters" queryTableFieldId="2"/>
    <tableColumn id="3" xr3:uid="{4435E113-366E-4223-8EFF-2603B716D851}" uniqueName="3" name="Readmitted_Within_30_Days" queryTableFieldId="3"/>
    <tableColumn id="4" xr3:uid="{39E85332-49C4-4B16-BCB8-9C0736F39093}" uniqueName="4" name="Readmission_30_Day_Rate" queryTableFieldId="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BE0214C-B3D7-418D-8C16-D2CDD5A3957D}" name="_07_emergency_visits" displayName="_07_emergency_visits" ref="A1:D4" tableType="queryTable" totalsRowShown="0">
  <autoFilter ref="A1:D4" xr:uid="{BBE0214C-B3D7-418D-8C16-D2CDD5A3957D}"/>
  <tableColumns count="4">
    <tableColumn id="1" xr3:uid="{AAD4F853-A103-4301-9F54-288EEDFC76BB}" uniqueName="1" name="Emergency_Visit_Group" queryTableFieldId="1" dataDxfId="7"/>
    <tableColumn id="2" xr3:uid="{C6CBB98A-6019-44DD-80C5-379C7F5C2FFC}" uniqueName="2" name="Total_Encounters" queryTableFieldId="2"/>
    <tableColumn id="3" xr3:uid="{F06978C5-0CF0-44B4-B0EF-1148EE687402}" uniqueName="3" name="Readmitted_Within_30_Days" queryTableFieldId="3"/>
    <tableColumn id="4" xr3:uid="{D26E6C2F-1D58-4C5D-B9E4-C4C71880DE52}" uniqueName="4" name="Readmission_30_Day_Rate" queryTableFieldId="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87EC3CE-3D02-4F72-AF83-BD31C7AA7666}" name="_08_diabetes_med" displayName="_08_diabetes_med" ref="A1:G3" tableType="queryTable" totalsRowShown="0">
  <autoFilter ref="A1:G3" xr:uid="{687EC3CE-3D02-4F72-AF83-BD31C7AA7666}"/>
  <tableColumns count="7">
    <tableColumn id="5" xr3:uid="{BAD637F5-E0C0-4614-8101-8BAB3F9964BC}" uniqueName="5" name="Diabetes_Status" queryTableFieldId="5" dataDxfId="6"/>
    <tableColumn id="6" xr3:uid="{15E22D00-45E3-4DC5-98B8-A921801818E9}" uniqueName="6" name="Total" queryTableFieldId="6"/>
    <tableColumn id="7" xr3:uid="{3071F2D9-65B2-4ACB-A0F8-9B9416CB4C03}" uniqueName="7" name="Readmitted" queryTableFieldId="7"/>
    <tableColumn id="8" xr3:uid="{985535B0-0AC9-495A-ACCD-809EC7C61393}" uniqueName="8" name="Rate" queryTableFieldId="8"/>
    <tableColumn id="9" xr3:uid="{0E5E3E10-D497-43BA-9A52-1B403C458C12}" uniqueName="9" name="Not_Readmitted" queryTableFieldId="9"/>
    <tableColumn id="10" xr3:uid="{EB3A19AC-A520-44EC-B9BA-67D3848ADF3C}" uniqueName="10" name="Readmitted_Percentage" queryTableFieldId="10" dataDxfId="5" dataCellStyle="Percent"/>
    <tableColumn id="11" xr3:uid="{320795F7-63F9-49D8-8545-F9B8A21528D8}" uniqueName="11" name="Not_Readmitted_Percentage" queryTableFieldId="11" dataDxfId="4" dataCellStyle="Perce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63A2A5-18FA-4DD3-A62B-DCAA62FE969C}" name="_09_a1c_result" displayName="_09_a1c_result" ref="A1:D5" tableType="queryTable" totalsRowShown="0">
  <autoFilter ref="A1:D5" xr:uid="{A163A2A5-18FA-4DD3-A62B-DCAA62FE969C}"/>
  <tableColumns count="4">
    <tableColumn id="1" xr3:uid="{9D93DEA2-049E-4264-900C-284AFAA001C1}" uniqueName="1" name="A1C_Result" queryTableFieldId="1" dataDxfId="3"/>
    <tableColumn id="2" xr3:uid="{0D318A5F-0B71-4661-A712-53F05F98033C}" uniqueName="2" name="Total_Encounters" queryTableFieldId="2"/>
    <tableColumn id="3" xr3:uid="{72688B1F-702F-40C5-BBA6-1BF0242996BD}" uniqueName="3" name="Readmitted_Within_30_Days" queryTableFieldId="3"/>
    <tableColumn id="4" xr3:uid="{C1EF4883-0851-4B00-BB96-55B9A4C50933}" uniqueName="4" name="Readmission_30_Day_Rate" queryTableFieldId="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436298B-FCC7-446C-BF9D-63709D94826E}" name="_10_high_risk_segments" displayName="_10_high_risk_segments" ref="A1:F54" tableType="queryTable" totalsRowShown="0">
  <autoFilter ref="A1:F54" xr:uid="{A436298B-FCC7-446C-BF9D-63709D94826E}">
    <filterColumn colId="3">
      <customFilters>
        <customFilter operator="greaterThan" val="100"/>
      </customFilters>
    </filterColumn>
  </autoFilter>
  <sortState xmlns:xlrd2="http://schemas.microsoft.com/office/spreadsheetml/2017/richdata2" ref="A2:F54">
    <sortCondition descending="1" ref="F1:F54"/>
  </sortState>
  <tableColumns count="6">
    <tableColumn id="1" xr3:uid="{7CB25F27-759A-4865-A317-7FEA3BD1203A}" uniqueName="1" name="Age" queryTableFieldId="1" dataDxfId="2"/>
    <tableColumn id="2" xr3:uid="{2C8DF446-0FF6-477B-AE35-8CEFA3F298FD}" uniqueName="2" name="Stay_Group" queryTableFieldId="2" dataDxfId="1"/>
    <tableColumn id="3" xr3:uid="{388C7ABB-A7CD-4BA6-83F9-2018B403057D}" uniqueName="3" name="Emergency_Visit_Group" queryTableFieldId="3" dataDxfId="0"/>
    <tableColumn id="4" xr3:uid="{4C974625-6FBE-45CD-B7B7-7DBE565F865E}" uniqueName="4" name="Total_Encounters" queryTableFieldId="4"/>
    <tableColumn id="5" xr3:uid="{118595EC-28A9-4E8D-9CBF-86F04B9F1314}" uniqueName="5" name="Readmitted_Within_30_Days" queryTableFieldId="5"/>
    <tableColumn id="6" xr3:uid="{46720D10-D74A-4C08-900E-6CAEC9E7216D}" uniqueName="6" name="Readmission_30_Day_Rate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B917B-B1A6-410D-845D-D25C0F59257A}">
  <dimension ref="A1:B2"/>
  <sheetViews>
    <sheetView workbookViewId="0">
      <selection sqref="A1:B1"/>
    </sheetView>
  </sheetViews>
  <sheetFormatPr defaultRowHeight="14.4" x14ac:dyDescent="0.3"/>
  <cols>
    <col min="1" max="1" width="17.44140625" bestFit="1" customWidth="1"/>
    <col min="2" max="2" width="16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101766</v>
      </c>
      <c r="B2">
        <v>71518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36C9-75BF-4DEE-B085-A6CF32EA7C9B}">
  <dimension ref="A1:C4"/>
  <sheetViews>
    <sheetView workbookViewId="0">
      <selection activeCell="L12" sqref="L12"/>
    </sheetView>
  </sheetViews>
  <sheetFormatPr defaultRowHeight="14.4" x14ac:dyDescent="0.3"/>
  <cols>
    <col min="1" max="1" width="20.109375" bestFit="1" customWidth="1"/>
    <col min="2" max="2" width="13" bestFit="1" customWidth="1"/>
    <col min="3" max="3" width="12.5546875" bestFit="1" customWidth="1"/>
  </cols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 t="s">
        <v>2</v>
      </c>
      <c r="B2">
        <v>54864</v>
      </c>
      <c r="C2">
        <v>53.91</v>
      </c>
    </row>
    <row r="3" spans="1:3" x14ac:dyDescent="0.3">
      <c r="A3" t="s">
        <v>3</v>
      </c>
      <c r="B3">
        <v>35545</v>
      </c>
      <c r="C3">
        <v>34.93</v>
      </c>
    </row>
    <row r="4" spans="1:3" x14ac:dyDescent="0.3">
      <c r="A4" t="s">
        <v>4</v>
      </c>
      <c r="B4">
        <v>11357</v>
      </c>
      <c r="C4">
        <v>11.16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E91AB-6088-4131-9ABC-907133DFAFEE}">
  <dimension ref="A1:A2"/>
  <sheetViews>
    <sheetView workbookViewId="0">
      <selection sqref="A1:A2"/>
    </sheetView>
  </sheetViews>
  <sheetFormatPr defaultRowHeight="14.4" x14ac:dyDescent="0.3"/>
  <cols>
    <col min="1" max="1" width="25.5546875" bestFit="1" customWidth="1"/>
  </cols>
  <sheetData>
    <row r="1" spans="1:1" x14ac:dyDescent="0.3">
      <c r="A1" t="s">
        <v>8</v>
      </c>
    </row>
    <row r="2" spans="1:1" x14ac:dyDescent="0.3">
      <c r="A2">
        <v>11.16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7079-F3CA-4F2B-AAF2-809D0FD66A5C}">
  <dimension ref="A1:D11"/>
  <sheetViews>
    <sheetView workbookViewId="0">
      <selection activeCell="D1" sqref="D1:D1048576"/>
    </sheetView>
  </sheetViews>
  <sheetFormatPr defaultRowHeight="14.4" x14ac:dyDescent="0.3"/>
  <cols>
    <col min="1" max="1" width="6.21875" bestFit="1" customWidth="1"/>
    <col min="2" max="2" width="17.44140625" bestFit="1" customWidth="1"/>
    <col min="3" max="3" width="27.21875" bestFit="1" customWidth="1"/>
    <col min="4" max="4" width="25.5546875" bestFit="1" customWidth="1"/>
  </cols>
  <sheetData>
    <row r="1" spans="1:4" x14ac:dyDescent="0.3">
      <c r="A1" t="s">
        <v>19</v>
      </c>
      <c r="B1" t="s">
        <v>0</v>
      </c>
      <c r="C1" t="s">
        <v>44</v>
      </c>
      <c r="D1" t="s">
        <v>8</v>
      </c>
    </row>
    <row r="2" spans="1:4" x14ac:dyDescent="0.3">
      <c r="A2" t="s">
        <v>9</v>
      </c>
      <c r="B2">
        <v>161</v>
      </c>
      <c r="C2">
        <v>3</v>
      </c>
      <c r="D2">
        <v>1.86</v>
      </c>
    </row>
    <row r="3" spans="1:4" x14ac:dyDescent="0.3">
      <c r="A3" t="s">
        <v>10</v>
      </c>
      <c r="B3">
        <v>691</v>
      </c>
      <c r="C3">
        <v>40</v>
      </c>
      <c r="D3">
        <v>5.79</v>
      </c>
    </row>
    <row r="4" spans="1:4" x14ac:dyDescent="0.3">
      <c r="A4" t="s">
        <v>11</v>
      </c>
      <c r="B4">
        <v>1657</v>
      </c>
      <c r="C4">
        <v>236</v>
      </c>
      <c r="D4">
        <v>14.24</v>
      </c>
    </row>
    <row r="5" spans="1:4" x14ac:dyDescent="0.3">
      <c r="A5" t="s">
        <v>12</v>
      </c>
      <c r="B5">
        <v>3775</v>
      </c>
      <c r="C5">
        <v>424</v>
      </c>
      <c r="D5">
        <v>11.23</v>
      </c>
    </row>
    <row r="6" spans="1:4" x14ac:dyDescent="0.3">
      <c r="A6" t="s">
        <v>13</v>
      </c>
      <c r="B6">
        <v>9685</v>
      </c>
      <c r="C6">
        <v>1027</v>
      </c>
      <c r="D6">
        <v>10.6</v>
      </c>
    </row>
    <row r="7" spans="1:4" x14ac:dyDescent="0.3">
      <c r="A7" t="s">
        <v>14</v>
      </c>
      <c r="B7">
        <v>17256</v>
      </c>
      <c r="C7">
        <v>1668</v>
      </c>
      <c r="D7">
        <v>9.67</v>
      </c>
    </row>
    <row r="8" spans="1:4" x14ac:dyDescent="0.3">
      <c r="A8" t="s">
        <v>15</v>
      </c>
      <c r="B8">
        <v>22483</v>
      </c>
      <c r="C8">
        <v>2502</v>
      </c>
      <c r="D8">
        <v>11.13</v>
      </c>
    </row>
    <row r="9" spans="1:4" x14ac:dyDescent="0.3">
      <c r="A9" t="s">
        <v>16</v>
      </c>
      <c r="B9">
        <v>26068</v>
      </c>
      <c r="C9">
        <v>3069</v>
      </c>
      <c r="D9">
        <v>11.77</v>
      </c>
    </row>
    <row r="10" spans="1:4" x14ac:dyDescent="0.3">
      <c r="A10" t="s">
        <v>17</v>
      </c>
      <c r="B10">
        <v>17197</v>
      </c>
      <c r="C10">
        <v>2078</v>
      </c>
      <c r="D10">
        <v>12.08</v>
      </c>
    </row>
    <row r="11" spans="1:4" x14ac:dyDescent="0.3">
      <c r="A11" t="s">
        <v>18</v>
      </c>
      <c r="B11">
        <v>2793</v>
      </c>
      <c r="C11">
        <v>310</v>
      </c>
      <c r="D11">
        <v>11.1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5D041-C7AD-4D12-A3C8-BA1FDE25556F}">
  <dimension ref="A1:D4"/>
  <sheetViews>
    <sheetView workbookViewId="0">
      <selection activeCell="D27" sqref="D27"/>
    </sheetView>
  </sheetViews>
  <sheetFormatPr defaultRowHeight="14.4" x14ac:dyDescent="0.3"/>
  <cols>
    <col min="1" max="1" width="12.77734375" bestFit="1" customWidth="1"/>
    <col min="2" max="2" width="7.33203125" bestFit="1" customWidth="1"/>
    <col min="3" max="3" width="13.109375" bestFit="1" customWidth="1"/>
    <col min="4" max="4" width="7" bestFit="1" customWidth="1"/>
  </cols>
  <sheetData>
    <row r="1" spans="1:4" x14ac:dyDescent="0.3">
      <c r="A1" t="s">
        <v>24</v>
      </c>
      <c r="B1" t="s">
        <v>25</v>
      </c>
      <c r="C1" t="s">
        <v>26</v>
      </c>
      <c r="D1" t="s">
        <v>27</v>
      </c>
    </row>
    <row r="2" spans="1:4" x14ac:dyDescent="0.3">
      <c r="A2" t="s">
        <v>21</v>
      </c>
      <c r="B2">
        <v>15290</v>
      </c>
      <c r="C2">
        <v>2045</v>
      </c>
      <c r="D2">
        <v>13.37</v>
      </c>
    </row>
    <row r="3" spans="1:4" x14ac:dyDescent="0.3">
      <c r="A3" t="s">
        <v>22</v>
      </c>
      <c r="B3">
        <v>37288</v>
      </c>
      <c r="C3">
        <v>4544</v>
      </c>
      <c r="D3">
        <v>12.19</v>
      </c>
    </row>
    <row r="4" spans="1:4" x14ac:dyDescent="0.3">
      <c r="A4" t="s">
        <v>23</v>
      </c>
      <c r="B4">
        <v>49188</v>
      </c>
      <c r="C4">
        <v>4768</v>
      </c>
      <c r="D4">
        <v>9.69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97DB-8CDD-4625-AB09-8FD832E64ABB}">
  <dimension ref="A1:D4"/>
  <sheetViews>
    <sheetView workbookViewId="0">
      <selection activeCell="G24" sqref="G24"/>
    </sheetView>
  </sheetViews>
  <sheetFormatPr defaultRowHeight="14.4" x14ac:dyDescent="0.3"/>
  <cols>
    <col min="1" max="1" width="18.5546875" bestFit="1" customWidth="1"/>
    <col min="2" max="2" width="17.44140625" bestFit="1" customWidth="1"/>
    <col min="3" max="3" width="27.21875" bestFit="1" customWidth="1"/>
    <col min="4" max="4" width="27.33203125" bestFit="1" customWidth="1"/>
  </cols>
  <sheetData>
    <row r="1" spans="1:4" x14ac:dyDescent="0.3">
      <c r="A1" t="s">
        <v>28</v>
      </c>
      <c r="B1" t="s">
        <v>0</v>
      </c>
      <c r="C1" t="s">
        <v>20</v>
      </c>
      <c r="D1" t="s">
        <v>8</v>
      </c>
    </row>
    <row r="2" spans="1:4" x14ac:dyDescent="0.3">
      <c r="A2" t="s">
        <v>45</v>
      </c>
      <c r="B2">
        <v>23880</v>
      </c>
      <c r="C2">
        <v>3051</v>
      </c>
      <c r="D2">
        <v>12.78</v>
      </c>
    </row>
    <row r="3" spans="1:4" x14ac:dyDescent="0.3">
      <c r="A3" t="s">
        <v>46</v>
      </c>
      <c r="B3">
        <v>52025</v>
      </c>
      <c r="C3">
        <v>5962</v>
      </c>
      <c r="D3">
        <v>11.46</v>
      </c>
    </row>
    <row r="4" spans="1:4" x14ac:dyDescent="0.3">
      <c r="A4" t="s">
        <v>47</v>
      </c>
      <c r="B4">
        <v>25861</v>
      </c>
      <c r="C4">
        <v>2344</v>
      </c>
      <c r="D4">
        <v>9.06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AF691-673D-4CAA-9913-A5F270F0C85D}">
  <dimension ref="A1:D4"/>
  <sheetViews>
    <sheetView workbookViewId="0">
      <selection activeCell="B28" sqref="B28"/>
    </sheetView>
  </sheetViews>
  <sheetFormatPr defaultRowHeight="14.4" x14ac:dyDescent="0.3"/>
  <cols>
    <col min="1" max="1" width="23" bestFit="1" customWidth="1"/>
    <col min="2" max="2" width="17.44140625" bestFit="1" customWidth="1"/>
    <col min="3" max="3" width="27.21875" bestFit="1" customWidth="1"/>
    <col min="4" max="4" width="25.5546875" bestFit="1" customWidth="1"/>
  </cols>
  <sheetData>
    <row r="1" spans="1:4" x14ac:dyDescent="0.3">
      <c r="A1" t="s">
        <v>32</v>
      </c>
      <c r="B1" t="s">
        <v>0</v>
      </c>
      <c r="C1" t="s">
        <v>20</v>
      </c>
      <c r="D1" t="s">
        <v>8</v>
      </c>
    </row>
    <row r="2" spans="1:4" x14ac:dyDescent="0.3">
      <c r="A2" t="s">
        <v>29</v>
      </c>
      <c r="B2">
        <v>1664</v>
      </c>
      <c r="C2">
        <v>415</v>
      </c>
      <c r="D2">
        <v>24.94</v>
      </c>
    </row>
    <row r="3" spans="1:4" x14ac:dyDescent="0.3">
      <c r="A3" t="s">
        <v>30</v>
      </c>
      <c r="B3">
        <v>9719</v>
      </c>
      <c r="C3">
        <v>1475</v>
      </c>
      <c r="D3">
        <v>15.18</v>
      </c>
    </row>
    <row r="4" spans="1:4" x14ac:dyDescent="0.3">
      <c r="A4" t="s">
        <v>31</v>
      </c>
      <c r="B4">
        <v>90383</v>
      </c>
      <c r="C4">
        <v>9467</v>
      </c>
      <c r="D4">
        <v>10.47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32C16-EA21-4907-8F50-581B2C3540CD}">
  <dimension ref="A1:G3"/>
  <sheetViews>
    <sheetView zoomScale="85" zoomScaleNormal="85" workbookViewId="0">
      <selection activeCell="E1" activeCellId="4" sqref="B8 B1:B1048576 C1:C1048576 D1:D1048576 E1:E1048576"/>
    </sheetView>
  </sheetViews>
  <sheetFormatPr defaultRowHeight="14.4" x14ac:dyDescent="0.3"/>
  <cols>
    <col min="1" max="1" width="16.88671875" bestFit="1" customWidth="1"/>
    <col min="2" max="2" width="7.33203125" hidden="1" customWidth="1"/>
    <col min="3" max="3" width="13.109375" hidden="1" customWidth="1"/>
    <col min="4" max="4" width="7" hidden="1" customWidth="1"/>
    <col min="5" max="5" width="17" hidden="1" customWidth="1"/>
    <col min="6" max="6" width="23.5546875" style="1" bestFit="1" customWidth="1"/>
    <col min="7" max="7" width="27.33203125" style="1" bestFit="1" customWidth="1"/>
    <col min="8" max="8" width="14.21875" bestFit="1" customWidth="1"/>
    <col min="9" max="9" width="17.44140625" bestFit="1" customWidth="1"/>
    <col min="10" max="10" width="27.21875" bestFit="1" customWidth="1"/>
    <col min="11" max="11" width="26.44140625" bestFit="1" customWidth="1"/>
  </cols>
  <sheetData>
    <row r="1" spans="1:7" x14ac:dyDescent="0.3">
      <c r="A1" t="s">
        <v>48</v>
      </c>
      <c r="B1" t="s">
        <v>25</v>
      </c>
      <c r="C1" t="s">
        <v>26</v>
      </c>
      <c r="D1" t="s">
        <v>27</v>
      </c>
      <c r="E1" t="s">
        <v>51</v>
      </c>
      <c r="F1" s="1" t="s">
        <v>52</v>
      </c>
      <c r="G1" s="1" t="s">
        <v>53</v>
      </c>
    </row>
    <row r="2" spans="1:7" x14ac:dyDescent="0.3">
      <c r="A2" t="s">
        <v>49</v>
      </c>
      <c r="B2">
        <v>23403</v>
      </c>
      <c r="C2">
        <v>2246</v>
      </c>
      <c r="D2">
        <v>9.6</v>
      </c>
      <c r="E2">
        <v>21157</v>
      </c>
      <c r="F2" s="1">
        <v>9.5970602059565008E-2</v>
      </c>
      <c r="G2" s="1">
        <v>0.90402939794043502</v>
      </c>
    </row>
    <row r="3" spans="1:7" x14ac:dyDescent="0.3">
      <c r="A3" t="s">
        <v>50</v>
      </c>
      <c r="B3">
        <v>78363</v>
      </c>
      <c r="C3">
        <v>9111</v>
      </c>
      <c r="D3">
        <v>11.63</v>
      </c>
      <c r="E3">
        <v>69252</v>
      </c>
      <c r="F3" s="1">
        <v>0.11626660541326901</v>
      </c>
      <c r="G3" s="1">
        <v>0.88373339458673095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A8AD6-96F0-4EAF-A0BC-D95455FFBC36}">
  <dimension ref="A1:D5"/>
  <sheetViews>
    <sheetView workbookViewId="0">
      <selection activeCell="C1" activeCellId="2" sqref="C17 B1:B1048576 C1:C1048576"/>
    </sheetView>
  </sheetViews>
  <sheetFormatPr defaultRowHeight="14.4" x14ac:dyDescent="0.3"/>
  <cols>
    <col min="1" max="1" width="11.33203125" bestFit="1" customWidth="1"/>
    <col min="2" max="2" width="17.44140625" hidden="1" customWidth="1"/>
    <col min="3" max="3" width="27.21875" hidden="1" customWidth="1"/>
    <col min="4" max="4" width="25.5546875" bestFit="1" customWidth="1"/>
  </cols>
  <sheetData>
    <row r="1" spans="1:4" x14ac:dyDescent="0.3">
      <c r="A1" t="s">
        <v>54</v>
      </c>
      <c r="B1" t="s">
        <v>0</v>
      </c>
      <c r="C1" t="s">
        <v>20</v>
      </c>
      <c r="D1" t="s">
        <v>8</v>
      </c>
    </row>
    <row r="2" spans="1:4" x14ac:dyDescent="0.3">
      <c r="A2" t="s">
        <v>33</v>
      </c>
      <c r="B2">
        <v>84748</v>
      </c>
      <c r="C2">
        <v>9681</v>
      </c>
      <c r="D2">
        <v>11.42</v>
      </c>
    </row>
    <row r="3" spans="1:4" x14ac:dyDescent="0.3">
      <c r="A3" t="s">
        <v>34</v>
      </c>
      <c r="B3">
        <v>3812</v>
      </c>
      <c r="C3">
        <v>383</v>
      </c>
      <c r="D3">
        <v>10.050000000000001</v>
      </c>
    </row>
    <row r="4" spans="1:4" x14ac:dyDescent="0.3">
      <c r="A4" t="s">
        <v>35</v>
      </c>
      <c r="B4">
        <v>8216</v>
      </c>
      <c r="C4">
        <v>811</v>
      </c>
      <c r="D4">
        <v>9.8699999999999992</v>
      </c>
    </row>
    <row r="5" spans="1:4" x14ac:dyDescent="0.3">
      <c r="A5" t="s">
        <v>36</v>
      </c>
      <c r="B5">
        <v>4990</v>
      </c>
      <c r="C5">
        <v>482</v>
      </c>
      <c r="D5">
        <v>9.66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4499-D9F8-4E27-BDD6-D0D9FD512B4D}">
  <dimension ref="A1:F54"/>
  <sheetViews>
    <sheetView workbookViewId="0">
      <selection sqref="A1:F5"/>
    </sheetView>
  </sheetViews>
  <sheetFormatPr defaultRowHeight="14.4" x14ac:dyDescent="0.3"/>
  <cols>
    <col min="1" max="1" width="10.6640625" bestFit="1" customWidth="1"/>
    <col min="2" max="2" width="19.44140625" bestFit="1" customWidth="1"/>
    <col min="3" max="3" width="23" bestFit="1" customWidth="1"/>
    <col min="4" max="4" width="17.44140625" bestFit="1" customWidth="1"/>
    <col min="5" max="5" width="27.21875" bestFit="1" customWidth="1"/>
    <col min="6" max="6" width="25.5546875" bestFit="1" customWidth="1"/>
  </cols>
  <sheetData>
    <row r="1" spans="1:6" x14ac:dyDescent="0.3">
      <c r="A1" t="s">
        <v>19</v>
      </c>
      <c r="B1" t="s">
        <v>24</v>
      </c>
      <c r="C1" t="s">
        <v>32</v>
      </c>
      <c r="D1" t="s">
        <v>0</v>
      </c>
      <c r="E1" t="s">
        <v>20</v>
      </c>
      <c r="F1" t="s">
        <v>8</v>
      </c>
    </row>
    <row r="2" spans="1:6" x14ac:dyDescent="0.3">
      <c r="A2" t="s">
        <v>12</v>
      </c>
      <c r="B2" t="s">
        <v>37</v>
      </c>
      <c r="C2" t="s">
        <v>29</v>
      </c>
      <c r="D2">
        <v>101</v>
      </c>
      <c r="E2">
        <v>34</v>
      </c>
      <c r="F2">
        <v>33.659999999999997</v>
      </c>
    </row>
    <row r="3" spans="1:6" x14ac:dyDescent="0.3">
      <c r="A3" t="s">
        <v>16</v>
      </c>
      <c r="B3" t="s">
        <v>37</v>
      </c>
      <c r="C3" t="s">
        <v>29</v>
      </c>
      <c r="D3">
        <v>103</v>
      </c>
      <c r="E3">
        <v>31</v>
      </c>
      <c r="F3">
        <v>30.1</v>
      </c>
    </row>
    <row r="4" spans="1:6" x14ac:dyDescent="0.3">
      <c r="A4" t="s">
        <v>13</v>
      </c>
      <c r="B4" t="s">
        <v>37</v>
      </c>
      <c r="C4" t="s">
        <v>29</v>
      </c>
      <c r="D4">
        <v>183</v>
      </c>
      <c r="E4">
        <v>46</v>
      </c>
      <c r="F4">
        <v>25.14</v>
      </c>
    </row>
    <row r="5" spans="1:6" x14ac:dyDescent="0.3">
      <c r="A5" t="s">
        <v>13</v>
      </c>
      <c r="B5" t="s">
        <v>38</v>
      </c>
      <c r="C5" t="s">
        <v>29</v>
      </c>
      <c r="D5">
        <v>132</v>
      </c>
      <c r="E5">
        <v>30</v>
      </c>
      <c r="F5">
        <v>22.73</v>
      </c>
    </row>
    <row r="6" spans="1:6" x14ac:dyDescent="0.3">
      <c r="A6" t="s">
        <v>11</v>
      </c>
      <c r="B6" t="s">
        <v>37</v>
      </c>
      <c r="C6" t="s">
        <v>30</v>
      </c>
      <c r="D6">
        <v>136</v>
      </c>
      <c r="E6">
        <v>30</v>
      </c>
      <c r="F6">
        <v>22.06</v>
      </c>
    </row>
    <row r="7" spans="1:6" x14ac:dyDescent="0.3">
      <c r="A7" t="s">
        <v>15</v>
      </c>
      <c r="B7" t="s">
        <v>37</v>
      </c>
      <c r="C7" t="s">
        <v>29</v>
      </c>
      <c r="D7">
        <v>128</v>
      </c>
      <c r="E7">
        <v>28</v>
      </c>
      <c r="F7">
        <v>21.88</v>
      </c>
    </row>
    <row r="8" spans="1:6" x14ac:dyDescent="0.3">
      <c r="A8" t="s">
        <v>14</v>
      </c>
      <c r="B8" t="s">
        <v>37</v>
      </c>
      <c r="C8" t="s">
        <v>29</v>
      </c>
      <c r="D8">
        <v>193</v>
      </c>
      <c r="E8">
        <v>36</v>
      </c>
      <c r="F8">
        <v>18.649999999999999</v>
      </c>
    </row>
    <row r="9" spans="1:6" x14ac:dyDescent="0.3">
      <c r="A9" t="s">
        <v>17</v>
      </c>
      <c r="B9" t="s">
        <v>38</v>
      </c>
      <c r="C9" t="s">
        <v>30</v>
      </c>
      <c r="D9">
        <v>761</v>
      </c>
      <c r="E9">
        <v>137</v>
      </c>
      <c r="F9">
        <v>18</v>
      </c>
    </row>
    <row r="10" spans="1:6" x14ac:dyDescent="0.3">
      <c r="A10" t="s">
        <v>14</v>
      </c>
      <c r="B10" t="s">
        <v>39</v>
      </c>
      <c r="C10" t="s">
        <v>30</v>
      </c>
      <c r="D10">
        <v>217</v>
      </c>
      <c r="E10">
        <v>39</v>
      </c>
      <c r="F10">
        <v>17.97</v>
      </c>
    </row>
    <row r="11" spans="1:6" x14ac:dyDescent="0.3">
      <c r="A11" t="s">
        <v>12</v>
      </c>
      <c r="B11" t="s">
        <v>37</v>
      </c>
      <c r="C11" t="s">
        <v>30</v>
      </c>
      <c r="D11">
        <v>280</v>
      </c>
      <c r="E11">
        <v>49</v>
      </c>
      <c r="F11">
        <v>17.5</v>
      </c>
    </row>
    <row r="12" spans="1:6" x14ac:dyDescent="0.3">
      <c r="A12" t="s">
        <v>14</v>
      </c>
      <c r="B12" t="s">
        <v>38</v>
      </c>
      <c r="C12" t="s">
        <v>30</v>
      </c>
      <c r="D12">
        <v>617</v>
      </c>
      <c r="E12">
        <v>107</v>
      </c>
      <c r="F12">
        <v>17.34</v>
      </c>
    </row>
    <row r="13" spans="1:6" x14ac:dyDescent="0.3">
      <c r="A13" t="s">
        <v>16</v>
      </c>
      <c r="B13" t="s">
        <v>39</v>
      </c>
      <c r="C13" t="s">
        <v>30</v>
      </c>
      <c r="D13">
        <v>360</v>
      </c>
      <c r="E13">
        <v>62</v>
      </c>
      <c r="F13">
        <v>17.22</v>
      </c>
    </row>
    <row r="14" spans="1:6" x14ac:dyDescent="0.3">
      <c r="A14" t="s">
        <v>13</v>
      </c>
      <c r="B14" t="s">
        <v>39</v>
      </c>
      <c r="C14" t="s">
        <v>30</v>
      </c>
      <c r="D14">
        <v>166</v>
      </c>
      <c r="E14">
        <v>28</v>
      </c>
      <c r="F14">
        <v>16.87</v>
      </c>
    </row>
    <row r="15" spans="1:6" x14ac:dyDescent="0.3">
      <c r="A15" t="s">
        <v>15</v>
      </c>
      <c r="B15" t="s">
        <v>38</v>
      </c>
      <c r="C15" t="s">
        <v>30</v>
      </c>
      <c r="D15">
        <v>728</v>
      </c>
      <c r="E15">
        <v>122</v>
      </c>
      <c r="F15">
        <v>16.760000000000002</v>
      </c>
    </row>
    <row r="16" spans="1:6" x14ac:dyDescent="0.3">
      <c r="A16" t="s">
        <v>16</v>
      </c>
      <c r="B16" t="s">
        <v>37</v>
      </c>
      <c r="C16" t="s">
        <v>30</v>
      </c>
      <c r="D16">
        <v>998</v>
      </c>
      <c r="E16">
        <v>163</v>
      </c>
      <c r="F16">
        <v>16.329999999999998</v>
      </c>
    </row>
    <row r="17" spans="1:6" x14ac:dyDescent="0.3">
      <c r="A17" t="s">
        <v>14</v>
      </c>
      <c r="B17" t="s">
        <v>38</v>
      </c>
      <c r="C17" t="s">
        <v>29</v>
      </c>
      <c r="D17">
        <v>113</v>
      </c>
      <c r="E17">
        <v>18</v>
      </c>
      <c r="F17">
        <v>15.93</v>
      </c>
    </row>
    <row r="18" spans="1:6" x14ac:dyDescent="0.3">
      <c r="A18" t="s">
        <v>12</v>
      </c>
      <c r="B18" t="s">
        <v>39</v>
      </c>
      <c r="C18" t="s">
        <v>31</v>
      </c>
      <c r="D18">
        <v>327</v>
      </c>
      <c r="E18">
        <v>51</v>
      </c>
      <c r="F18">
        <v>15.6</v>
      </c>
    </row>
    <row r="19" spans="1:6" x14ac:dyDescent="0.3">
      <c r="A19" t="s">
        <v>13</v>
      </c>
      <c r="B19" t="s">
        <v>38</v>
      </c>
      <c r="C19" t="s">
        <v>30</v>
      </c>
      <c r="D19">
        <v>350</v>
      </c>
      <c r="E19">
        <v>52</v>
      </c>
      <c r="F19">
        <v>14.86</v>
      </c>
    </row>
    <row r="20" spans="1:6" x14ac:dyDescent="0.3">
      <c r="A20" t="s">
        <v>15</v>
      </c>
      <c r="B20" t="s">
        <v>37</v>
      </c>
      <c r="C20" t="s">
        <v>30</v>
      </c>
      <c r="D20">
        <v>884</v>
      </c>
      <c r="E20">
        <v>125</v>
      </c>
      <c r="F20">
        <v>14.14</v>
      </c>
    </row>
    <row r="21" spans="1:6" x14ac:dyDescent="0.3">
      <c r="A21" t="s">
        <v>16</v>
      </c>
      <c r="B21" t="s">
        <v>39</v>
      </c>
      <c r="C21" t="s">
        <v>31</v>
      </c>
      <c r="D21">
        <v>3953</v>
      </c>
      <c r="E21">
        <v>556</v>
      </c>
      <c r="F21">
        <v>14.07</v>
      </c>
    </row>
    <row r="22" spans="1:6" x14ac:dyDescent="0.3">
      <c r="A22" t="s">
        <v>16</v>
      </c>
      <c r="B22" t="s">
        <v>38</v>
      </c>
      <c r="C22" t="s">
        <v>30</v>
      </c>
      <c r="D22">
        <v>866</v>
      </c>
      <c r="E22">
        <v>119</v>
      </c>
      <c r="F22">
        <v>13.74</v>
      </c>
    </row>
    <row r="23" spans="1:6" x14ac:dyDescent="0.3">
      <c r="A23" t="s">
        <v>13</v>
      </c>
      <c r="B23" t="s">
        <v>39</v>
      </c>
      <c r="C23" t="s">
        <v>31</v>
      </c>
      <c r="D23">
        <v>990</v>
      </c>
      <c r="E23">
        <v>131</v>
      </c>
      <c r="F23">
        <v>13.23</v>
      </c>
    </row>
    <row r="24" spans="1:6" x14ac:dyDescent="0.3">
      <c r="A24" t="s">
        <v>17</v>
      </c>
      <c r="B24" t="s">
        <v>37</v>
      </c>
      <c r="C24" t="s">
        <v>30</v>
      </c>
      <c r="D24">
        <v>695</v>
      </c>
      <c r="E24">
        <v>91</v>
      </c>
      <c r="F24">
        <v>13.09</v>
      </c>
    </row>
    <row r="25" spans="1:6" x14ac:dyDescent="0.3">
      <c r="A25" t="s">
        <v>18</v>
      </c>
      <c r="B25" t="s">
        <v>38</v>
      </c>
      <c r="C25" t="s">
        <v>31</v>
      </c>
      <c r="D25">
        <v>1110</v>
      </c>
      <c r="E25">
        <v>144</v>
      </c>
      <c r="F25">
        <v>12.97</v>
      </c>
    </row>
    <row r="26" spans="1:6" x14ac:dyDescent="0.3">
      <c r="A26" t="s">
        <v>14</v>
      </c>
      <c r="B26" t="s">
        <v>37</v>
      </c>
      <c r="C26" t="s">
        <v>30</v>
      </c>
      <c r="D26">
        <v>915</v>
      </c>
      <c r="E26">
        <v>118</v>
      </c>
      <c r="F26">
        <v>12.9</v>
      </c>
    </row>
    <row r="27" spans="1:6" x14ac:dyDescent="0.3">
      <c r="A27" t="s">
        <v>15</v>
      </c>
      <c r="B27" t="s">
        <v>39</v>
      </c>
      <c r="C27" t="s">
        <v>31</v>
      </c>
      <c r="D27">
        <v>3113</v>
      </c>
      <c r="E27">
        <v>400</v>
      </c>
      <c r="F27">
        <v>12.85</v>
      </c>
    </row>
    <row r="28" spans="1:6" x14ac:dyDescent="0.3">
      <c r="A28" t="s">
        <v>17</v>
      </c>
      <c r="B28" t="s">
        <v>38</v>
      </c>
      <c r="C28" t="s">
        <v>31</v>
      </c>
      <c r="D28">
        <v>6270</v>
      </c>
      <c r="E28">
        <v>801</v>
      </c>
      <c r="F28">
        <v>12.78</v>
      </c>
    </row>
    <row r="29" spans="1:6" x14ac:dyDescent="0.3">
      <c r="A29" t="s">
        <v>13</v>
      </c>
      <c r="B29" t="s">
        <v>37</v>
      </c>
      <c r="C29" t="s">
        <v>30</v>
      </c>
      <c r="D29">
        <v>571</v>
      </c>
      <c r="E29">
        <v>73</v>
      </c>
      <c r="F29">
        <v>12.78</v>
      </c>
    </row>
    <row r="30" spans="1:6" x14ac:dyDescent="0.3">
      <c r="A30" t="s">
        <v>15</v>
      </c>
      <c r="B30" t="s">
        <v>39</v>
      </c>
      <c r="C30" t="s">
        <v>30</v>
      </c>
      <c r="D30">
        <v>278</v>
      </c>
      <c r="E30">
        <v>35</v>
      </c>
      <c r="F30">
        <v>12.59</v>
      </c>
    </row>
    <row r="31" spans="1:6" x14ac:dyDescent="0.3">
      <c r="A31" t="s">
        <v>17</v>
      </c>
      <c r="B31" t="s">
        <v>39</v>
      </c>
      <c r="C31" t="s">
        <v>30</v>
      </c>
      <c r="D31">
        <v>310</v>
      </c>
      <c r="E31">
        <v>39</v>
      </c>
      <c r="F31">
        <v>12.58</v>
      </c>
    </row>
    <row r="32" spans="1:6" x14ac:dyDescent="0.3">
      <c r="A32" t="s">
        <v>14</v>
      </c>
      <c r="B32" t="s">
        <v>39</v>
      </c>
      <c r="C32" t="s">
        <v>31</v>
      </c>
      <c r="D32">
        <v>1991</v>
      </c>
      <c r="E32">
        <v>249</v>
      </c>
      <c r="F32">
        <v>12.51</v>
      </c>
    </row>
    <row r="33" spans="1:6" x14ac:dyDescent="0.3">
      <c r="A33" t="s">
        <v>12</v>
      </c>
      <c r="B33" t="s">
        <v>38</v>
      </c>
      <c r="C33" t="s">
        <v>30</v>
      </c>
      <c r="D33">
        <v>146</v>
      </c>
      <c r="E33">
        <v>18</v>
      </c>
      <c r="F33">
        <v>12.33</v>
      </c>
    </row>
    <row r="34" spans="1:6" x14ac:dyDescent="0.3">
      <c r="A34" t="s">
        <v>18</v>
      </c>
      <c r="B34" t="s">
        <v>38</v>
      </c>
      <c r="C34" t="s">
        <v>30</v>
      </c>
      <c r="D34">
        <v>106</v>
      </c>
      <c r="E34">
        <v>13</v>
      </c>
      <c r="F34">
        <v>12.26</v>
      </c>
    </row>
    <row r="35" spans="1:6" x14ac:dyDescent="0.3">
      <c r="A35" t="s">
        <v>17</v>
      </c>
      <c r="B35" t="s">
        <v>39</v>
      </c>
      <c r="C35" t="s">
        <v>31</v>
      </c>
      <c r="D35">
        <v>2680</v>
      </c>
      <c r="E35">
        <v>327</v>
      </c>
      <c r="F35">
        <v>12.2</v>
      </c>
    </row>
    <row r="36" spans="1:6" x14ac:dyDescent="0.3">
      <c r="A36" t="s">
        <v>16</v>
      </c>
      <c r="B36" t="s">
        <v>38</v>
      </c>
      <c r="C36" t="s">
        <v>31</v>
      </c>
      <c r="D36">
        <v>9030</v>
      </c>
      <c r="E36">
        <v>1086</v>
      </c>
      <c r="F36">
        <v>12.03</v>
      </c>
    </row>
    <row r="37" spans="1:6" x14ac:dyDescent="0.3">
      <c r="A37" t="s">
        <v>15</v>
      </c>
      <c r="B37" t="s">
        <v>38</v>
      </c>
      <c r="C37" t="s">
        <v>31</v>
      </c>
      <c r="D37">
        <v>7263</v>
      </c>
      <c r="E37">
        <v>840</v>
      </c>
      <c r="F37">
        <v>11.57</v>
      </c>
    </row>
    <row r="38" spans="1:6" x14ac:dyDescent="0.3">
      <c r="A38" t="s">
        <v>11</v>
      </c>
      <c r="B38" t="s">
        <v>37</v>
      </c>
      <c r="C38" t="s">
        <v>31</v>
      </c>
      <c r="D38">
        <v>825</v>
      </c>
      <c r="E38">
        <v>90</v>
      </c>
      <c r="F38">
        <v>10.91</v>
      </c>
    </row>
    <row r="39" spans="1:6" x14ac:dyDescent="0.3">
      <c r="A39" t="s">
        <v>13</v>
      </c>
      <c r="B39" t="s">
        <v>38</v>
      </c>
      <c r="C39" t="s">
        <v>31</v>
      </c>
      <c r="D39">
        <v>2716</v>
      </c>
      <c r="E39">
        <v>291</v>
      </c>
      <c r="F39">
        <v>10.71</v>
      </c>
    </row>
    <row r="40" spans="1:6" x14ac:dyDescent="0.3">
      <c r="A40" t="s">
        <v>17</v>
      </c>
      <c r="B40" t="s">
        <v>37</v>
      </c>
      <c r="C40" t="s">
        <v>31</v>
      </c>
      <c r="D40">
        <v>6369</v>
      </c>
      <c r="E40">
        <v>658</v>
      </c>
      <c r="F40">
        <v>10.33</v>
      </c>
    </row>
    <row r="41" spans="1:6" x14ac:dyDescent="0.3">
      <c r="A41" t="s">
        <v>18</v>
      </c>
      <c r="B41" t="s">
        <v>39</v>
      </c>
      <c r="C41" t="s">
        <v>31</v>
      </c>
      <c r="D41">
        <v>415</v>
      </c>
      <c r="E41">
        <v>41</v>
      </c>
      <c r="F41">
        <v>9.8800000000000008</v>
      </c>
    </row>
    <row r="42" spans="1:6" x14ac:dyDescent="0.3">
      <c r="A42" t="s">
        <v>14</v>
      </c>
      <c r="B42" t="s">
        <v>38</v>
      </c>
      <c r="C42" t="s">
        <v>31</v>
      </c>
      <c r="D42">
        <v>5199</v>
      </c>
      <c r="E42">
        <v>513</v>
      </c>
      <c r="F42">
        <v>9.8699999999999992</v>
      </c>
    </row>
    <row r="43" spans="1:6" x14ac:dyDescent="0.3">
      <c r="A43" t="s">
        <v>12</v>
      </c>
      <c r="B43" t="s">
        <v>38</v>
      </c>
      <c r="C43" t="s">
        <v>31</v>
      </c>
      <c r="D43">
        <v>956</v>
      </c>
      <c r="E43">
        <v>92</v>
      </c>
      <c r="F43">
        <v>9.6199999999999992</v>
      </c>
    </row>
    <row r="44" spans="1:6" x14ac:dyDescent="0.3">
      <c r="A44" t="s">
        <v>16</v>
      </c>
      <c r="B44" t="s">
        <v>37</v>
      </c>
      <c r="C44" t="s">
        <v>31</v>
      </c>
      <c r="D44">
        <v>10656</v>
      </c>
      <c r="E44">
        <v>1017</v>
      </c>
      <c r="F44">
        <v>9.5399999999999991</v>
      </c>
    </row>
    <row r="45" spans="1:6" x14ac:dyDescent="0.3">
      <c r="A45" t="s">
        <v>18</v>
      </c>
      <c r="B45" t="s">
        <v>37</v>
      </c>
      <c r="C45" t="s">
        <v>31</v>
      </c>
      <c r="D45">
        <v>1011</v>
      </c>
      <c r="E45">
        <v>95</v>
      </c>
      <c r="F45">
        <v>9.4</v>
      </c>
    </row>
    <row r="46" spans="1:6" x14ac:dyDescent="0.3">
      <c r="A46" t="s">
        <v>15</v>
      </c>
      <c r="B46" t="s">
        <v>37</v>
      </c>
      <c r="C46" t="s">
        <v>31</v>
      </c>
      <c r="D46">
        <v>9952</v>
      </c>
      <c r="E46">
        <v>926</v>
      </c>
      <c r="F46">
        <v>9.3000000000000007</v>
      </c>
    </row>
    <row r="47" spans="1:6" x14ac:dyDescent="0.3">
      <c r="A47" t="s">
        <v>11</v>
      </c>
      <c r="B47" t="s">
        <v>38</v>
      </c>
      <c r="C47" t="s">
        <v>31</v>
      </c>
      <c r="D47">
        <v>347</v>
      </c>
      <c r="E47">
        <v>30</v>
      </c>
      <c r="F47">
        <v>8.65</v>
      </c>
    </row>
    <row r="48" spans="1:6" x14ac:dyDescent="0.3">
      <c r="A48" t="s">
        <v>11</v>
      </c>
      <c r="B48" t="s">
        <v>39</v>
      </c>
      <c r="C48" t="s">
        <v>31</v>
      </c>
      <c r="D48">
        <v>105</v>
      </c>
      <c r="E48">
        <v>9</v>
      </c>
      <c r="F48">
        <v>8.57</v>
      </c>
    </row>
    <row r="49" spans="1:6" x14ac:dyDescent="0.3">
      <c r="A49" t="s">
        <v>13</v>
      </c>
      <c r="B49" t="s">
        <v>37</v>
      </c>
      <c r="C49" t="s">
        <v>31</v>
      </c>
      <c r="D49">
        <v>4530</v>
      </c>
      <c r="E49">
        <v>363</v>
      </c>
      <c r="F49">
        <v>8.01</v>
      </c>
    </row>
    <row r="50" spans="1:6" x14ac:dyDescent="0.3">
      <c r="A50" t="s">
        <v>12</v>
      </c>
      <c r="B50" t="s">
        <v>37</v>
      </c>
      <c r="C50" t="s">
        <v>31</v>
      </c>
      <c r="D50">
        <v>1835</v>
      </c>
      <c r="E50">
        <v>144</v>
      </c>
      <c r="F50">
        <v>7.85</v>
      </c>
    </row>
    <row r="51" spans="1:6" x14ac:dyDescent="0.3">
      <c r="A51" t="s">
        <v>10</v>
      </c>
      <c r="B51" t="s">
        <v>38</v>
      </c>
      <c r="C51" t="s">
        <v>31</v>
      </c>
      <c r="D51">
        <v>115</v>
      </c>
      <c r="E51">
        <v>9</v>
      </c>
      <c r="F51">
        <v>7.83</v>
      </c>
    </row>
    <row r="52" spans="1:6" x14ac:dyDescent="0.3">
      <c r="A52" t="s">
        <v>14</v>
      </c>
      <c r="B52" t="s">
        <v>37</v>
      </c>
      <c r="C52" t="s">
        <v>31</v>
      </c>
      <c r="D52">
        <v>7952</v>
      </c>
      <c r="E52">
        <v>574</v>
      </c>
      <c r="F52">
        <v>7.22</v>
      </c>
    </row>
    <row r="53" spans="1:6" x14ac:dyDescent="0.3">
      <c r="A53" t="s">
        <v>10</v>
      </c>
      <c r="B53" t="s">
        <v>37</v>
      </c>
      <c r="C53" t="s">
        <v>31</v>
      </c>
      <c r="D53">
        <v>461</v>
      </c>
      <c r="E53">
        <v>23</v>
      </c>
      <c r="F53">
        <v>4.99</v>
      </c>
    </row>
    <row r="54" spans="1:6" x14ac:dyDescent="0.3">
      <c r="A54" t="s">
        <v>9</v>
      </c>
      <c r="B54" t="s">
        <v>37</v>
      </c>
      <c r="C54" t="s">
        <v>31</v>
      </c>
      <c r="D54">
        <v>131</v>
      </c>
      <c r="E54">
        <v>3</v>
      </c>
      <c r="F54">
        <v>2.29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34881-3046-4887-BCE2-69AEEADE9756}">
  <dimension ref="B1:N87"/>
  <sheetViews>
    <sheetView showGridLines="0" tabSelected="1" topLeftCell="A67" zoomScale="57" zoomScaleNormal="80" workbookViewId="0">
      <selection activeCell="Q14" sqref="Q14"/>
    </sheetView>
  </sheetViews>
  <sheetFormatPr defaultColWidth="20.77734375" defaultRowHeight="25.05" customHeight="1" x14ac:dyDescent="0.5"/>
  <cols>
    <col min="1" max="1" width="18" style="3" customWidth="1"/>
    <col min="2" max="5" width="24.77734375" style="3" customWidth="1"/>
    <col min="6" max="16384" width="20.77734375" style="3"/>
  </cols>
  <sheetData>
    <row r="1" spans="2:14" ht="31.95" customHeight="1" thickBot="1" x14ac:dyDescent="0.75">
      <c r="B1" s="26" t="s">
        <v>43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2:14" ht="25.05" customHeight="1" x14ac:dyDescent="0.5">
      <c r="B2" s="21" t="s">
        <v>40</v>
      </c>
      <c r="C2" s="22" t="s">
        <v>41</v>
      </c>
      <c r="D2" s="30" t="s">
        <v>42</v>
      </c>
      <c r="E2" s="31"/>
    </row>
    <row r="3" spans="2:14" ht="25.05" customHeight="1" thickBot="1" x14ac:dyDescent="0.55000000000000004">
      <c r="B3" s="19">
        <f>Total_Overview!A2</f>
        <v>101766</v>
      </c>
      <c r="C3" s="20">
        <f>Total_Overview!B2</f>
        <v>71518</v>
      </c>
      <c r="D3" s="28">
        <f>Rate_30_Day!A2</f>
        <v>11.16</v>
      </c>
      <c r="E3" s="29"/>
    </row>
    <row r="4" spans="2:14" ht="25.05" customHeight="1" x14ac:dyDescent="0.5">
      <c r="B4" s="2"/>
      <c r="C4" s="2"/>
      <c r="D4" s="2"/>
      <c r="E4" s="2"/>
    </row>
    <row r="5" spans="2:14" ht="26.4" thickBot="1" x14ac:dyDescent="0.55000000000000004">
      <c r="B5" s="23" t="s">
        <v>65</v>
      </c>
      <c r="C5" s="18"/>
      <c r="D5" s="18"/>
      <c r="E5" s="18"/>
      <c r="F5" s="17"/>
      <c r="G5" s="17"/>
      <c r="I5" s="23" t="s">
        <v>71</v>
      </c>
      <c r="J5" s="17"/>
      <c r="K5" s="17"/>
      <c r="L5" s="17"/>
      <c r="M5" s="17"/>
      <c r="N5" s="17"/>
    </row>
    <row r="6" spans="2:14" ht="25.8" x14ac:dyDescent="0.5">
      <c r="B6" s="3" t="s">
        <v>66</v>
      </c>
      <c r="E6" s="2"/>
      <c r="F6" s="2"/>
      <c r="G6" s="2"/>
      <c r="H6" s="2"/>
      <c r="I6" s="3" t="s">
        <v>72</v>
      </c>
    </row>
    <row r="7" spans="2:14" ht="25.8" x14ac:dyDescent="0.5">
      <c r="B7" s="3" t="s">
        <v>67</v>
      </c>
      <c r="E7" s="2"/>
      <c r="F7" s="2"/>
      <c r="G7" s="2"/>
      <c r="H7" s="2"/>
      <c r="I7" s="3" t="s">
        <v>73</v>
      </c>
    </row>
    <row r="8" spans="2:14" ht="25.8" x14ac:dyDescent="0.5">
      <c r="B8" s="3" t="s">
        <v>68</v>
      </c>
      <c r="E8" s="2"/>
      <c r="F8" s="2"/>
      <c r="G8" s="2"/>
      <c r="H8" s="2"/>
      <c r="I8" s="3" t="s">
        <v>74</v>
      </c>
    </row>
    <row r="9" spans="2:14" ht="25.8" x14ac:dyDescent="0.5">
      <c r="B9" s="3" t="s">
        <v>69</v>
      </c>
      <c r="E9" s="2"/>
      <c r="F9" s="2"/>
      <c r="G9" s="2"/>
      <c r="H9" s="2"/>
      <c r="I9" s="3" t="s">
        <v>75</v>
      </c>
    </row>
    <row r="10" spans="2:14" ht="25.8" x14ac:dyDescent="0.5">
      <c r="B10" s="3" t="s">
        <v>70</v>
      </c>
      <c r="E10" s="2"/>
      <c r="F10" s="2"/>
      <c r="G10" s="2"/>
      <c r="H10" s="2"/>
      <c r="I10" s="3" t="s">
        <v>76</v>
      </c>
    </row>
    <row r="11" spans="2:14" ht="25.8" x14ac:dyDescent="0.5">
      <c r="E11" s="2"/>
      <c r="F11" s="2"/>
      <c r="G11" s="2"/>
      <c r="H11" s="2"/>
    </row>
    <row r="12" spans="2:14" ht="25.05" customHeight="1" x14ac:dyDescent="0.5">
      <c r="B12" s="2"/>
      <c r="C12" s="2"/>
      <c r="D12" s="2"/>
      <c r="E12" s="2"/>
    </row>
    <row r="13" spans="2:14" ht="25.05" customHeight="1" x14ac:dyDescent="0.5">
      <c r="C13" s="4"/>
      <c r="D13" s="5"/>
      <c r="E13" s="5"/>
    </row>
    <row r="14" spans="2:14" ht="25.05" customHeight="1" thickBot="1" x14ac:dyDescent="0.55000000000000004">
      <c r="B14" s="32" t="s">
        <v>58</v>
      </c>
      <c r="C14" s="32"/>
      <c r="D14" s="32"/>
      <c r="E14" s="32"/>
      <c r="F14" s="32"/>
      <c r="G14" s="32"/>
      <c r="I14" s="33" t="s">
        <v>59</v>
      </c>
      <c r="J14" s="33"/>
      <c r="K14" s="33"/>
      <c r="L14" s="33"/>
      <c r="M14" s="33"/>
      <c r="N14" s="33"/>
    </row>
    <row r="35" spans="2:14" ht="25.05" customHeight="1" thickBot="1" x14ac:dyDescent="0.55000000000000004">
      <c r="B35" s="33" t="s">
        <v>60</v>
      </c>
      <c r="C35" s="33"/>
      <c r="D35" s="33"/>
      <c r="E35" s="33"/>
      <c r="F35" s="33"/>
      <c r="G35" s="33"/>
      <c r="I35" s="33" t="s">
        <v>61</v>
      </c>
      <c r="J35" s="33"/>
      <c r="K35" s="33"/>
      <c r="L35" s="33"/>
      <c r="M35" s="33"/>
      <c r="N35" s="33"/>
    </row>
    <row r="57" spans="2:14" ht="25.05" customHeight="1" thickBot="1" x14ac:dyDescent="0.55000000000000004">
      <c r="B57" s="33" t="s">
        <v>62</v>
      </c>
      <c r="C57" s="33"/>
      <c r="D57" s="33"/>
      <c r="E57" s="33"/>
      <c r="F57" s="33"/>
      <c r="G57" s="33"/>
      <c r="I57" s="33" t="s">
        <v>63</v>
      </c>
      <c r="J57" s="33"/>
      <c r="K57" s="33"/>
      <c r="L57" s="33"/>
      <c r="M57" s="33"/>
      <c r="N57" s="33"/>
    </row>
    <row r="78" spans="2:14" ht="25.05" customHeight="1" thickBot="1" x14ac:dyDescent="0.55000000000000004">
      <c r="B78" s="33" t="s">
        <v>64</v>
      </c>
      <c r="C78" s="33"/>
      <c r="D78" s="33"/>
      <c r="E78" s="33"/>
      <c r="F78" s="33"/>
      <c r="G78" s="33"/>
      <c r="I78" s="24" t="s">
        <v>57</v>
      </c>
      <c r="J78" s="25"/>
      <c r="K78" s="25"/>
      <c r="L78" s="25"/>
      <c r="M78" s="25"/>
      <c r="N78" s="25"/>
    </row>
    <row r="83" spans="9:14" ht="25.05" customHeight="1" x14ac:dyDescent="0.5">
      <c r="I83" s="6" t="s">
        <v>19</v>
      </c>
      <c r="J83" s="7" t="s">
        <v>24</v>
      </c>
      <c r="K83" s="7" t="s">
        <v>32</v>
      </c>
      <c r="L83" s="7" t="s">
        <v>55</v>
      </c>
      <c r="M83" s="7" t="s">
        <v>26</v>
      </c>
      <c r="N83" s="8" t="s">
        <v>56</v>
      </c>
    </row>
    <row r="84" spans="9:14" ht="25.05" customHeight="1" x14ac:dyDescent="0.5">
      <c r="I84" s="9" t="s">
        <v>12</v>
      </c>
      <c r="J84" s="10" t="s">
        <v>37</v>
      </c>
      <c r="K84" s="10" t="s">
        <v>29</v>
      </c>
      <c r="L84" s="10">
        <v>101</v>
      </c>
      <c r="M84" s="10">
        <v>34</v>
      </c>
      <c r="N84" s="11">
        <v>33.659999999999997</v>
      </c>
    </row>
    <row r="85" spans="9:14" ht="25.05" customHeight="1" x14ac:dyDescent="0.5">
      <c r="I85" s="12" t="s">
        <v>16</v>
      </c>
      <c r="J85" s="13" t="s">
        <v>37</v>
      </c>
      <c r="K85" s="13" t="s">
        <v>29</v>
      </c>
      <c r="L85" s="13">
        <v>103</v>
      </c>
      <c r="M85" s="13">
        <v>31</v>
      </c>
      <c r="N85" s="14">
        <v>30.1</v>
      </c>
    </row>
    <row r="86" spans="9:14" ht="25.05" customHeight="1" x14ac:dyDescent="0.5">
      <c r="I86" s="15" t="s">
        <v>13</v>
      </c>
      <c r="J86" s="16" t="s">
        <v>37</v>
      </c>
      <c r="K86" s="16" t="s">
        <v>29</v>
      </c>
      <c r="L86" s="16">
        <v>183</v>
      </c>
      <c r="M86" s="16">
        <v>46</v>
      </c>
      <c r="N86" s="11">
        <v>25.14</v>
      </c>
    </row>
    <row r="87" spans="9:14" ht="25.05" customHeight="1" x14ac:dyDescent="0.5">
      <c r="I87" s="12" t="s">
        <v>13</v>
      </c>
      <c r="J87" s="13" t="s">
        <v>38</v>
      </c>
      <c r="K87" s="13" t="s">
        <v>29</v>
      </c>
      <c r="L87" s="13">
        <v>132</v>
      </c>
      <c r="M87" s="13">
        <v>30</v>
      </c>
      <c r="N87" s="14">
        <v>22.73</v>
      </c>
    </row>
  </sheetData>
  <mergeCells count="11">
    <mergeCell ref="I78:N78"/>
    <mergeCell ref="B1:N1"/>
    <mergeCell ref="D3:E3"/>
    <mergeCell ref="D2:E2"/>
    <mergeCell ref="B14:G14"/>
    <mergeCell ref="I14:N14"/>
    <mergeCell ref="B35:G35"/>
    <mergeCell ref="I35:N35"/>
    <mergeCell ref="B57:G57"/>
    <mergeCell ref="I57:N57"/>
    <mergeCell ref="B78:G78"/>
  </mergeCells>
  <conditionalFormatting sqref="N84:N87">
    <cfRule type="colorScale" priority="1">
      <colorScale>
        <cfvo type="min"/>
        <cfvo type="max"/>
        <color theme="0" tint="-4.9989318521683403E-2"/>
        <color rgb="FFFF0000"/>
      </colorScale>
    </cfRule>
  </conditionalFormatting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C245C6-CB1C-4ECE-AB04-04B65F6EB2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Total_Overview</vt:lpstr>
      <vt:lpstr>Readmission</vt:lpstr>
      <vt:lpstr>Rate_30_Day</vt:lpstr>
      <vt:lpstr>Age</vt:lpstr>
      <vt:lpstr>Length_Of_Stay</vt:lpstr>
      <vt:lpstr>Medication_Group</vt:lpstr>
      <vt:lpstr>Emergency_Visits</vt:lpstr>
      <vt:lpstr>Diabetes_Med</vt:lpstr>
      <vt:lpstr>A1c_Result</vt:lpstr>
      <vt:lpstr>High_Risk_Segments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Manvendra Hooda</dc:creator>
  <cp:lastModifiedBy>Manvendra Hooda</cp:lastModifiedBy>
  <dcterms:created xsi:type="dcterms:W3CDTF">2026-05-06T15:57:53Z</dcterms:created>
  <dcterms:modified xsi:type="dcterms:W3CDTF">2026-05-13T05:19:42Z</dcterms:modified>
</cp:coreProperties>
</file>